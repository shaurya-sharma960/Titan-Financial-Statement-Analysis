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4002FCA-FD3F-4BBD-8806-95B00DB38A27}" xr6:coauthVersionLast="47" xr6:coauthVersionMax="47" xr10:uidLastSave="{00000000-0000-0000-0000-000000000000}"/>
  <bookViews>
    <workbookView xWindow="-110" yWindow="-110" windowWidth="19420" windowHeight="10300" activeTab="4" xr2:uid="{76BDC2C6-EA04-4E79-8225-0CC661DB6409}"/>
  </bookViews>
  <sheets>
    <sheet name="Sheet1" sheetId="1" r:id="rId1"/>
    <sheet name="Sheet2" sheetId="2" r:id="rId2"/>
    <sheet name="Sheet3" sheetId="3" r:id="rId3"/>
    <sheet name="Sheet4" sheetId="4" r:id="rId4"/>
    <sheet name="Charts" sheetId="5" r:id="rId5"/>
    <sheet name="Dashboard" sheetId="6" r:id="rId6"/>
  </sheets>
  <definedNames>
    <definedName name="_xlnm.Print_Area" localSheetId="0">Sheet1!$E$1:$J$12</definedName>
    <definedName name="_xlnm.Print_Area" localSheetId="1">Sheet2!$C$3:$H$15</definedName>
    <definedName name="_xlnm.Print_Area" localSheetId="2">Sheet3!$C$3:$H$10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2" i="5" l="1"/>
  <c r="AD10" i="5"/>
  <c r="AD11" i="5"/>
  <c r="AD9" i="5"/>
  <c r="AD8" i="5"/>
  <c r="G11" i="4"/>
  <c r="F11" i="4"/>
  <c r="F9" i="4"/>
  <c r="F7" i="4"/>
  <c r="E7" i="4"/>
  <c r="D7" i="4"/>
  <c r="E10" i="4"/>
  <c r="F10" i="4"/>
  <c r="G10" i="4"/>
  <c r="H10" i="4"/>
  <c r="D10" i="4"/>
  <c r="E9" i="4"/>
  <c r="G9" i="4"/>
  <c r="H9" i="4"/>
  <c r="D9" i="4"/>
  <c r="G7" i="4"/>
  <c r="H7" i="4"/>
  <c r="E11" i="4"/>
  <c r="H11" i="4"/>
  <c r="D11" i="4"/>
  <c r="E8" i="4"/>
  <c r="F8" i="4"/>
  <c r="G8" i="4"/>
  <c r="H8" i="4"/>
  <c r="D8" i="4"/>
</calcChain>
</file>

<file path=xl/sharedStrings.xml><?xml version="1.0" encoding="utf-8"?>
<sst xmlns="http://schemas.openxmlformats.org/spreadsheetml/2006/main" count="48" uniqueCount="34">
  <si>
    <t>Particulars</t>
  </si>
  <si>
    <t>Total Assets</t>
  </si>
  <si>
    <t>Total Equity</t>
  </si>
  <si>
    <t>Non-current Liabilities</t>
  </si>
  <si>
    <t>Inventories</t>
  </si>
  <si>
    <t>Cash &amp; Cash Equivalents</t>
  </si>
  <si>
    <t>Borrowings</t>
  </si>
  <si>
    <t>current Liabilities</t>
  </si>
  <si>
    <t>Revenue from operations</t>
  </si>
  <si>
    <t>Total income</t>
  </si>
  <si>
    <t>Employee Benefit Expense</t>
  </si>
  <si>
    <t>Finance Cost</t>
  </si>
  <si>
    <t>Depreciation</t>
  </si>
  <si>
    <t>Profit Before Tax</t>
  </si>
  <si>
    <t>Net Profit</t>
  </si>
  <si>
    <t>EPS</t>
  </si>
  <si>
    <t>Statement of Profit &amp; Loss</t>
  </si>
  <si>
    <t>Balance Sheet</t>
  </si>
  <si>
    <t>Operating Cash Flow</t>
  </si>
  <si>
    <t>Investing Cash Flow</t>
  </si>
  <si>
    <t>Financing Cash Flow</t>
  </si>
  <si>
    <t>Net Increase in Cash</t>
  </si>
  <si>
    <t>Cash Flow Sheet</t>
  </si>
  <si>
    <t>Ratio</t>
  </si>
  <si>
    <t>Ratio Analysis</t>
  </si>
  <si>
    <t>Current Ratio</t>
  </si>
  <si>
    <t>Debt-to-Equity</t>
  </si>
  <si>
    <t>Net Profit Margin</t>
  </si>
  <si>
    <t>ROE</t>
  </si>
  <si>
    <t>Asset Turnover</t>
  </si>
  <si>
    <t>Year</t>
  </si>
  <si>
    <t>TITAN COMPANY LTD.
Financial Statement Analysis Dashboard (2021–2025)</t>
  </si>
  <si>
    <t>(IN CRORES)</t>
  </si>
  <si>
    <r>
      <t>(</t>
    </r>
    <r>
      <rPr>
        <b/>
        <i/>
        <sz val="11"/>
        <color theme="1"/>
        <rFont val="Calibri"/>
        <family val="2"/>
        <scheme val="minor"/>
      </rPr>
      <t>IN CRORES)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</si>
</sst>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_ [$₹-439]* #,##0.00_ ;_ [$₹-439]* \-#,##0.00_ ;_ [$₹-439]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u/>
      <sz val="28"/>
      <color theme="1"/>
      <name val="Calibri"/>
      <family val="2"/>
      <scheme val="minor"/>
    </font>
    <font>
      <b/>
      <i/>
      <u/>
      <sz val="24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24"/>
      <color theme="0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4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wrapText="1"/>
    </xf>
    <xf numFmtId="0" fontId="2" fillId="3" borderId="1" xfId="0" applyFont="1" applyFill="1" applyBorder="1"/>
    <xf numFmtId="0" fontId="4" fillId="4" borderId="1" xfId="0" applyFont="1" applyFill="1" applyBorder="1"/>
    <xf numFmtId="164" fontId="0" fillId="0" borderId="0" xfId="0" applyNumberFormat="1"/>
    <xf numFmtId="10" fontId="0" fillId="0" borderId="0" xfId="0" applyNumberFormat="1"/>
    <xf numFmtId="2" fontId="0" fillId="4" borderId="1" xfId="0" applyNumberFormat="1" applyFill="1" applyBorder="1"/>
    <xf numFmtId="10" fontId="0" fillId="4" borderId="1" xfId="1" applyNumberFormat="1" applyFont="1" applyFill="1" applyBorder="1"/>
    <xf numFmtId="0" fontId="4" fillId="2" borderId="1" xfId="0" applyFont="1" applyFill="1" applyBorder="1" applyAlignment="1">
      <alignment wrapText="1"/>
    </xf>
    <xf numFmtId="0" fontId="5" fillId="2" borderId="0" xfId="0" applyFont="1" applyFill="1" applyAlignment="1">
      <alignment horizontal="left" vertical="center" indent="1"/>
    </xf>
    <xf numFmtId="0" fontId="0" fillId="3" borderId="1" xfId="0" applyFill="1" applyBorder="1" applyAlignment="1">
      <alignment vertical="center" wrapText="1"/>
    </xf>
    <xf numFmtId="10" fontId="0" fillId="4" borderId="1" xfId="0" applyNumberForma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indent="1"/>
    </xf>
    <xf numFmtId="0" fontId="0" fillId="4" borderId="1" xfId="0" applyFill="1" applyBorder="1" applyAlignment="1">
      <alignment vertical="center" wrapText="1"/>
    </xf>
    <xf numFmtId="0" fontId="0" fillId="5" borderId="0" xfId="0" applyFill="1"/>
    <xf numFmtId="0" fontId="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wrapText="1"/>
    </xf>
    <xf numFmtId="0" fontId="9" fillId="5" borderId="0" xfId="0" applyFont="1" applyFill="1" applyAlignment="1">
      <alignment horizontal="center"/>
    </xf>
    <xf numFmtId="165" fontId="0" fillId="4" borderId="1" xfId="0" applyNumberFormat="1" applyFill="1" applyBorder="1"/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C60A57B3-BA63-4322-A825-6A2A659589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Charts!$D$7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Charts!$D$8:$D$12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85-4C50-A428-E0A15AD177EC}"/>
            </c:ext>
          </c:extLst>
        </c:ser>
        <c:ser>
          <c:idx val="1"/>
          <c:order val="1"/>
          <c:tx>
            <c:strRef>
              <c:f>Charts!$E$7</c:f>
              <c:strCache>
                <c:ptCount val="1"/>
                <c:pt idx="0">
                  <c:v>Revenue from operations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Charts!$E$8:$E$12</c:f>
              <c:numCache>
                <c:formatCode>_ [$₹-439]* #,##0.00_ ;_ [$₹-439]* \-#,##0.00_ ;_ [$₹-439]* "-"??_ ;_ @_ </c:formatCode>
                <c:ptCount val="5"/>
                <c:pt idx="0">
                  <c:v>20602</c:v>
                </c:pt>
                <c:pt idx="1">
                  <c:v>27210</c:v>
                </c:pt>
                <c:pt idx="2">
                  <c:v>38270</c:v>
                </c:pt>
                <c:pt idx="3">
                  <c:v>47114</c:v>
                </c:pt>
                <c:pt idx="4">
                  <c:v>54842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85-4C50-A428-E0A15AD17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8117120"/>
        <c:axId val="1218117952"/>
      </c:lineChart>
      <c:catAx>
        <c:axId val="1218117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117952"/>
        <c:crosses val="autoZero"/>
        <c:auto val="1"/>
        <c:lblAlgn val="ctr"/>
        <c:lblOffset val="100"/>
        <c:noMultiLvlLbl val="0"/>
      </c:catAx>
      <c:valAx>
        <c:axId val="121811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11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Charts!$D$20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Charts!$D$21:$D$25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15-418C-9214-EF0B1F3E2E77}"/>
            </c:ext>
          </c:extLst>
        </c:ser>
        <c:ser>
          <c:idx val="1"/>
          <c:order val="1"/>
          <c:tx>
            <c:strRef>
              <c:f>Charts!$E$20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Charts!$E$21:$E$25</c:f>
              <c:numCache>
                <c:formatCode>_ [$₹-439]* #,##0.00_ ;_ [$₹-439]* \-#,##0.00_ ;_ [$₹-439]* "-"??_ ;_ @_ </c:formatCode>
                <c:ptCount val="5"/>
                <c:pt idx="0">
                  <c:v>877</c:v>
                </c:pt>
                <c:pt idx="1">
                  <c:v>2180</c:v>
                </c:pt>
                <c:pt idx="2">
                  <c:v>3333</c:v>
                </c:pt>
                <c:pt idx="3">
                  <c:v>3544</c:v>
                </c:pt>
                <c:pt idx="4">
                  <c:v>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15-418C-9214-EF0B1F3E2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3637152"/>
        <c:axId val="2003638816"/>
      </c:lineChart>
      <c:catAx>
        <c:axId val="2003637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638816"/>
        <c:crosses val="autoZero"/>
        <c:auto val="1"/>
        <c:lblAlgn val="ctr"/>
        <c:lblOffset val="100"/>
        <c:noMultiLvlLbl val="0"/>
      </c:catAx>
      <c:valAx>
        <c:axId val="200363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63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Charts!$E$35</c:f>
              <c:strCache>
                <c:ptCount val="1"/>
                <c:pt idx="0">
                  <c:v>Current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Charts!$D$36:$D$40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Charts!$E$36:$E$40</c:f>
              <c:numCache>
                <c:formatCode>0.00</c:formatCode>
                <c:ptCount val="5"/>
                <c:pt idx="0">
                  <c:v>2.2000000000000002</c:v>
                </c:pt>
                <c:pt idx="1">
                  <c:v>2.11</c:v>
                </c:pt>
                <c:pt idx="2">
                  <c:v>2.1800000000000002</c:v>
                </c:pt>
                <c:pt idx="3">
                  <c:v>2.46</c:v>
                </c:pt>
                <c:pt idx="4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0-4AB5-8FDE-2C6300B7A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530688"/>
        <c:axId val="628527360"/>
      </c:barChart>
      <c:catAx>
        <c:axId val="62853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527360"/>
        <c:crosses val="autoZero"/>
        <c:auto val="1"/>
        <c:lblAlgn val="ctr"/>
        <c:lblOffset val="100"/>
        <c:noMultiLvlLbl val="0"/>
      </c:catAx>
      <c:valAx>
        <c:axId val="62852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53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Charts!$P$7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Charts!$P$8:$P$12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02-45E3-A8F4-9A62AA4C73C0}"/>
            </c:ext>
          </c:extLst>
        </c:ser>
        <c:ser>
          <c:idx val="1"/>
          <c:order val="1"/>
          <c:tx>
            <c:strRef>
              <c:f>Charts!$Q$7</c:f>
              <c:strCache>
                <c:ptCount val="1"/>
                <c:pt idx="0">
                  <c:v>ROE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Charts!$Q$8:$Q$12</c:f>
              <c:numCache>
                <c:formatCode>0.00%</c:formatCode>
                <c:ptCount val="5"/>
                <c:pt idx="0">
                  <c:v>0.11609999999999999</c:v>
                </c:pt>
                <c:pt idx="1">
                  <c:v>0.2326</c:v>
                </c:pt>
                <c:pt idx="2">
                  <c:v>0.27789999999999998</c:v>
                </c:pt>
                <c:pt idx="3">
                  <c:v>0.24510000000000001</c:v>
                </c:pt>
                <c:pt idx="4">
                  <c:v>0.19839999999999999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02-45E3-A8F4-9A62AA4C7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2372416"/>
        <c:axId val="2012375328"/>
      </c:lineChart>
      <c:catAx>
        <c:axId val="2012372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375328"/>
        <c:crosses val="autoZero"/>
        <c:auto val="1"/>
        <c:lblAlgn val="ctr"/>
        <c:lblOffset val="100"/>
        <c:noMultiLvlLbl val="0"/>
      </c:catAx>
      <c:valAx>
        <c:axId val="201237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37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Charts!$R$21</c:f>
              <c:strCache>
                <c:ptCount val="1"/>
                <c:pt idx="0">
                  <c:v>Asset Turnover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Charts!$Q$22:$Q$26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Charts!$R$22:$R$26</c:f>
              <c:numCache>
                <c:formatCode>General</c:formatCode>
                <c:ptCount val="5"/>
                <c:pt idx="0">
                  <c:v>1.3</c:v>
                </c:pt>
                <c:pt idx="1">
                  <c:v>1.35</c:v>
                </c:pt>
                <c:pt idx="2">
                  <c:v>1.53</c:v>
                </c:pt>
                <c:pt idx="3">
                  <c:v>1.43</c:v>
                </c:pt>
                <c:pt idx="4">
                  <c:v>1.34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E4-4912-871F-64C66B0C8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4476112"/>
        <c:axId val="604479024"/>
      </c:barChart>
      <c:catAx>
        <c:axId val="60447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479024"/>
        <c:crosses val="autoZero"/>
        <c:auto val="1"/>
        <c:lblAlgn val="ctr"/>
        <c:lblOffset val="100"/>
        <c:noMultiLvlLbl val="0"/>
      </c:catAx>
      <c:valAx>
        <c:axId val="60447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47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Charts!$AD$7</c:f>
              <c:strCache>
                <c:ptCount val="1"/>
                <c:pt idx="0">
                  <c:v>Net Profit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Charts!$AD$8:$AD$12</c:f>
              <c:numCache>
                <c:formatCode>0.00%</c:formatCode>
                <c:ptCount val="5"/>
                <c:pt idx="0">
                  <c:v>4.256868265216969E-2</c:v>
                </c:pt>
                <c:pt idx="1">
                  <c:v>8.0117603822124225E-2</c:v>
                </c:pt>
                <c:pt idx="2">
                  <c:v>8.7091716749412074E-2</c:v>
                </c:pt>
                <c:pt idx="3">
                  <c:v>7.5221802436643032E-2</c:v>
                </c:pt>
                <c:pt idx="4">
                  <c:v>6.0811057218919808E-2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7-44DC-B641-694A3B4823C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Return Of Equity</a:t>
            </a:r>
          </a:p>
        </c:rich>
      </c:tx>
      <c:layout>
        <c:manualLayout>
          <c:xMode val="edge"/>
          <c:yMode val="edge"/>
          <c:x val="0.28119638634819449"/>
          <c:y val="4.24577408103031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Charts!$P$7</c:f>
              <c:strCache>
                <c:ptCount val="1"/>
                <c:pt idx="0">
                  <c:v>Year</c:v>
                </c:pt>
              </c:strCache>
            </c:strRef>
          </c:tx>
          <c:spPr>
            <a:ln w="22225" cap="rnd">
              <a:solidFill>
                <a:schemeClr val="accent1">
                  <a:tint val="77000"/>
                </a:schemeClr>
              </a:solidFill>
            </a:ln>
            <a:effectLst>
              <a:glow rad="139700">
                <a:schemeClr val="accent1">
                  <a:tint val="77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Charts!$P$8:$P$12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1F-4B91-B036-4A242F27432E}"/>
            </c:ext>
          </c:extLst>
        </c:ser>
        <c:ser>
          <c:idx val="1"/>
          <c:order val="1"/>
          <c:tx>
            <c:strRef>
              <c:f>Charts!$Q$7</c:f>
              <c:strCache>
                <c:ptCount val="1"/>
                <c:pt idx="0">
                  <c:v>ROE</c:v>
                </c:pt>
              </c:strCache>
            </c:strRef>
          </c:tx>
          <c:spPr>
            <a:ln w="22225" cap="rnd">
              <a:solidFill>
                <a:schemeClr val="accent1">
                  <a:shade val="76000"/>
                </a:schemeClr>
              </a:solidFill>
            </a:ln>
            <a:effectLst>
              <a:glow rad="139700">
                <a:schemeClr val="accent1">
                  <a:shade val="76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Charts!$Q$8:$Q$12</c:f>
              <c:numCache>
                <c:formatCode>0.00%</c:formatCode>
                <c:ptCount val="5"/>
                <c:pt idx="0">
                  <c:v>0.11609999999999999</c:v>
                </c:pt>
                <c:pt idx="1">
                  <c:v>0.2326</c:v>
                </c:pt>
                <c:pt idx="2">
                  <c:v>0.27789999999999998</c:v>
                </c:pt>
                <c:pt idx="3">
                  <c:v>0.24510000000000001</c:v>
                </c:pt>
                <c:pt idx="4">
                  <c:v>0.19839999999999999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1F-4B91-B036-4A242F27432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12372416"/>
        <c:axId val="2012375328"/>
      </c:lineChart>
      <c:catAx>
        <c:axId val="20123724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375328"/>
        <c:crosses val="autoZero"/>
        <c:auto val="1"/>
        <c:lblAlgn val="ctr"/>
        <c:lblOffset val="100"/>
        <c:noMultiLvlLbl val="0"/>
      </c:catAx>
      <c:valAx>
        <c:axId val="20123753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372416"/>
        <c:crosses val="autoZero"/>
        <c:crossBetween val="between"/>
      </c:valAx>
      <c:spPr>
        <a:noFill/>
        <a:ln>
          <a:noFill/>
        </a:ln>
        <a:effectLst>
          <a:softEdge rad="50800"/>
        </a:effectLst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tx2"/>
        </a:gs>
        <a:gs pos="57000">
          <a:schemeClr val="tx2"/>
        </a:gs>
        <a:gs pos="23000">
          <a:schemeClr val="tx2"/>
        </a:gs>
        <a:gs pos="69000">
          <a:schemeClr val="tx2"/>
        </a:gs>
        <a:gs pos="97000">
          <a:schemeClr val="tx2"/>
        </a:gs>
      </a:gsLst>
      <a:path path="circle">
        <a:fillToRect l="50000" t="50000" r="50000" b="50000"/>
      </a:path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Asset Turnover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340249704179318E-2"/>
          <c:y val="0.18169274411083505"/>
          <c:w val="0.89340837430045661"/>
          <c:h val="0.680207348360962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Charts!$R$21</c:f>
              <c:strCache>
                <c:ptCount val="1"/>
                <c:pt idx="0">
                  <c:v>Asset Turnover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solidFill>
                <a:sysClr val="windowText" lastClr="000000">
                  <a:lumMod val="65000"/>
                  <a:lumOff val="3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15000"/>
                        <a:lumOff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Charts!$Q$22:$Q$26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Charts!$R$22:$R$26</c:f>
              <c:numCache>
                <c:formatCode>General</c:formatCode>
                <c:ptCount val="5"/>
                <c:pt idx="0">
                  <c:v>1.3</c:v>
                </c:pt>
                <c:pt idx="1">
                  <c:v>1.35</c:v>
                </c:pt>
                <c:pt idx="2">
                  <c:v>1.53</c:v>
                </c:pt>
                <c:pt idx="3">
                  <c:v>1.43</c:v>
                </c:pt>
                <c:pt idx="4">
                  <c:v>1.34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1-4879-959B-24209E7FB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604476112"/>
        <c:axId val="604479024"/>
      </c:barChart>
      <c:catAx>
        <c:axId val="6044761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479024"/>
        <c:crosses val="autoZero"/>
        <c:auto val="1"/>
        <c:lblAlgn val="ctr"/>
        <c:lblOffset val="100"/>
        <c:noMultiLvlLbl val="0"/>
      </c:catAx>
      <c:valAx>
        <c:axId val="6044790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47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tx2"/>
        </a:gs>
        <a:gs pos="57000">
          <a:schemeClr val="tx2"/>
        </a:gs>
        <a:gs pos="23000">
          <a:schemeClr val="tx2"/>
        </a:gs>
        <a:gs pos="69000">
          <a:schemeClr val="tx2"/>
        </a:gs>
        <a:gs pos="97000">
          <a:schemeClr val="tx2"/>
        </a:gs>
      </a:gsLst>
      <a:path path="circle">
        <a:fillToRect l="50000" t="50000" r="50000" b="50000"/>
      </a:path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Revenue From Operations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Charts!$D$7</c:f>
              <c:strCache>
                <c:ptCount val="1"/>
                <c:pt idx="0">
                  <c:v>Year</c:v>
                </c:pt>
              </c:strCache>
            </c:strRef>
          </c:tx>
          <c:spPr>
            <a:ln w="22225" cap="rnd">
              <a:solidFill>
                <a:schemeClr val="accent1">
                  <a:shade val="76000"/>
                </a:schemeClr>
              </a:solidFill>
            </a:ln>
            <a:effectLst>
              <a:glow rad="139700">
                <a:schemeClr val="accent1">
                  <a:shade val="76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Charts!$D$8:$D$12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8-4E75-9694-DAA65A54A231}"/>
            </c:ext>
          </c:extLst>
        </c:ser>
        <c:ser>
          <c:idx val="1"/>
          <c:order val="1"/>
          <c:tx>
            <c:strRef>
              <c:f>Charts!$E$7</c:f>
              <c:strCache>
                <c:ptCount val="1"/>
                <c:pt idx="0">
                  <c:v>Revenue from operations</c:v>
                </c:pt>
              </c:strCache>
            </c:strRef>
          </c:tx>
          <c:spPr>
            <a:ln w="22225" cap="rnd">
              <a:solidFill>
                <a:schemeClr val="accent1">
                  <a:tint val="77000"/>
                </a:schemeClr>
              </a:solidFill>
            </a:ln>
            <a:effectLst>
              <a:glow rad="139700">
                <a:schemeClr val="accent1">
                  <a:tint val="77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Charts!$E$8:$E$12</c:f>
              <c:numCache>
                <c:formatCode>_ [$₹-439]* #,##0.00_ ;_ [$₹-439]* \-#,##0.00_ ;_ [$₹-439]* "-"??_ ;_ @_ </c:formatCode>
                <c:ptCount val="5"/>
                <c:pt idx="0">
                  <c:v>20602</c:v>
                </c:pt>
                <c:pt idx="1">
                  <c:v>27210</c:v>
                </c:pt>
                <c:pt idx="2">
                  <c:v>38270</c:v>
                </c:pt>
                <c:pt idx="3">
                  <c:v>47114</c:v>
                </c:pt>
                <c:pt idx="4">
                  <c:v>54842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8-4E75-9694-DAA65A54A231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18117120"/>
        <c:axId val="1218117952"/>
      </c:lineChart>
      <c:catAx>
        <c:axId val="12181171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117952"/>
        <c:crosses val="autoZero"/>
        <c:auto val="1"/>
        <c:lblAlgn val="ctr"/>
        <c:lblOffset val="100"/>
        <c:noMultiLvlLbl val="0"/>
      </c:catAx>
      <c:valAx>
        <c:axId val="12181179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11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</a:t>
            </a:r>
            <a:r>
              <a:rPr lang="en-US" baseline="0"/>
              <a:t>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Charts!$D$20</c:f>
              <c:strCache>
                <c:ptCount val="1"/>
                <c:pt idx="0">
                  <c:v>Year</c:v>
                </c:pt>
              </c:strCache>
            </c:strRef>
          </c:tx>
          <c:spPr>
            <a:ln w="22225" cap="rnd">
              <a:solidFill>
                <a:schemeClr val="accent1">
                  <a:shade val="76000"/>
                </a:schemeClr>
              </a:solidFill>
            </a:ln>
            <a:effectLst>
              <a:glow rad="139700">
                <a:schemeClr val="accent1">
                  <a:shade val="76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Charts!$D$21:$D$25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51-489B-A836-05BDBBAF189E}"/>
            </c:ext>
          </c:extLst>
        </c:ser>
        <c:ser>
          <c:idx val="1"/>
          <c:order val="1"/>
          <c:tx>
            <c:strRef>
              <c:f>Charts!$E$20</c:f>
              <c:strCache>
                <c:ptCount val="1"/>
                <c:pt idx="0">
                  <c:v>Net Profit</c:v>
                </c:pt>
              </c:strCache>
            </c:strRef>
          </c:tx>
          <c:spPr>
            <a:ln w="22225" cap="rnd">
              <a:solidFill>
                <a:schemeClr val="accent1">
                  <a:tint val="77000"/>
                </a:schemeClr>
              </a:solidFill>
            </a:ln>
            <a:effectLst>
              <a:glow rad="139700">
                <a:schemeClr val="accent1">
                  <a:tint val="77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Charts!$E$21:$E$25</c:f>
              <c:numCache>
                <c:formatCode>_ [$₹-439]* #,##0.00_ ;_ [$₹-439]* \-#,##0.00_ ;_ [$₹-439]* "-"??_ ;_ @_ </c:formatCode>
                <c:ptCount val="5"/>
                <c:pt idx="0">
                  <c:v>877</c:v>
                </c:pt>
                <c:pt idx="1">
                  <c:v>2180</c:v>
                </c:pt>
                <c:pt idx="2">
                  <c:v>3333</c:v>
                </c:pt>
                <c:pt idx="3">
                  <c:v>3544</c:v>
                </c:pt>
                <c:pt idx="4">
                  <c:v>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51-489B-A836-05BDBBAF189E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03637152"/>
        <c:axId val="2003638816"/>
      </c:lineChart>
      <c:catAx>
        <c:axId val="20036371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638816"/>
        <c:crosses val="autoZero"/>
        <c:auto val="1"/>
        <c:lblAlgn val="ctr"/>
        <c:lblOffset val="100"/>
        <c:noMultiLvlLbl val="0"/>
      </c:catAx>
      <c:valAx>
        <c:axId val="20036388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63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Net</a:t>
            </a:r>
            <a:r>
              <a:rPr lang="en-US" baseline="0">
                <a:solidFill>
                  <a:schemeClr val="bg1"/>
                </a:solidFill>
              </a:rPr>
              <a:t> Profit Margin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Charts!$AD$7</c:f>
              <c:strCache>
                <c:ptCount val="1"/>
                <c:pt idx="0">
                  <c:v>Net Profit Margin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solidFill>
                <a:schemeClr val="accent1">
                  <a:shade val="50000"/>
                  <a:alpha val="97000"/>
                </a:schemeClr>
              </a:solidFill>
            </a:ln>
            <a:effectLst>
              <a:glow rad="127000">
                <a:schemeClr val="bg2">
                  <a:lumMod val="75000"/>
                </a:schemeClr>
              </a:glow>
            </a:effectLst>
          </c:spPr>
          <c:dPt>
            <c:idx val="0"/>
            <c:bubble3D val="0"/>
            <c:spPr>
              <a:solidFill>
                <a:schemeClr val="bg2">
                  <a:lumMod val="25000"/>
                </a:schemeClr>
              </a:solidFill>
              <a:ln>
                <a:solidFill>
                  <a:schemeClr val="accent1">
                    <a:shade val="50000"/>
                    <a:alpha val="97000"/>
                  </a:schemeClr>
                </a:solidFill>
              </a:ln>
              <a:effectLst>
                <a:glow rad="127000">
                  <a:schemeClr val="bg2">
                    <a:lumMod val="75000"/>
                  </a:schemeClr>
                </a:glo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907-4ED7-A7A0-72FF948EBE89}"/>
              </c:ext>
            </c:extLst>
          </c:dPt>
          <c:dPt>
            <c:idx val="1"/>
            <c:bubble3D val="0"/>
            <c:spPr>
              <a:solidFill>
                <a:schemeClr val="bg2">
                  <a:lumMod val="25000"/>
                </a:schemeClr>
              </a:solidFill>
              <a:ln>
                <a:solidFill>
                  <a:schemeClr val="accent1">
                    <a:shade val="50000"/>
                    <a:alpha val="97000"/>
                  </a:schemeClr>
                </a:solidFill>
              </a:ln>
              <a:effectLst>
                <a:glow rad="127000">
                  <a:schemeClr val="bg2">
                    <a:lumMod val="75000"/>
                  </a:schemeClr>
                </a:glo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907-4ED7-A7A0-72FF948EBE89}"/>
              </c:ext>
            </c:extLst>
          </c:dPt>
          <c:dPt>
            <c:idx val="2"/>
            <c:bubble3D val="0"/>
            <c:spPr>
              <a:solidFill>
                <a:schemeClr val="bg2">
                  <a:lumMod val="25000"/>
                </a:schemeClr>
              </a:solidFill>
              <a:ln>
                <a:solidFill>
                  <a:schemeClr val="accent1">
                    <a:shade val="50000"/>
                    <a:alpha val="97000"/>
                  </a:schemeClr>
                </a:solidFill>
              </a:ln>
              <a:effectLst>
                <a:glow rad="127000">
                  <a:schemeClr val="bg2">
                    <a:lumMod val="75000"/>
                  </a:schemeClr>
                </a:glo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907-4ED7-A7A0-72FF948EBE89}"/>
              </c:ext>
            </c:extLst>
          </c:dPt>
          <c:dPt>
            <c:idx val="3"/>
            <c:bubble3D val="0"/>
            <c:spPr>
              <a:solidFill>
                <a:schemeClr val="bg2">
                  <a:lumMod val="25000"/>
                </a:schemeClr>
              </a:solidFill>
              <a:ln>
                <a:solidFill>
                  <a:schemeClr val="accent1">
                    <a:shade val="50000"/>
                    <a:alpha val="97000"/>
                  </a:schemeClr>
                </a:solidFill>
              </a:ln>
              <a:effectLst>
                <a:glow rad="127000">
                  <a:schemeClr val="bg2">
                    <a:lumMod val="75000"/>
                  </a:schemeClr>
                </a:glo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907-4ED7-A7A0-72FF948EBE89}"/>
              </c:ext>
            </c:extLst>
          </c:dPt>
          <c:dPt>
            <c:idx val="4"/>
            <c:bubble3D val="0"/>
            <c:spPr>
              <a:solidFill>
                <a:schemeClr val="bg2">
                  <a:lumMod val="25000"/>
                </a:schemeClr>
              </a:solidFill>
              <a:ln>
                <a:solidFill>
                  <a:schemeClr val="accent1">
                    <a:shade val="50000"/>
                    <a:alpha val="97000"/>
                  </a:schemeClr>
                </a:solidFill>
              </a:ln>
              <a:effectLst>
                <a:glow rad="127000">
                  <a:schemeClr val="bg2">
                    <a:lumMod val="75000"/>
                  </a:schemeClr>
                </a:glo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907-4ED7-A7A0-72FF948EBE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Charts!$AD$8:$AD$12</c:f>
              <c:numCache>
                <c:formatCode>0.00%</c:formatCode>
                <c:ptCount val="5"/>
                <c:pt idx="0">
                  <c:v>4.256868265216969E-2</c:v>
                </c:pt>
                <c:pt idx="1">
                  <c:v>8.0117603822124225E-2</c:v>
                </c:pt>
                <c:pt idx="2">
                  <c:v>8.7091716749412074E-2</c:v>
                </c:pt>
                <c:pt idx="3">
                  <c:v>7.5221802436643032E-2</c:v>
                </c:pt>
                <c:pt idx="4">
                  <c:v>6.0811057218919808E-2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07-4ED7-A7A0-72FF948EBE8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glow rad="127000">
        <a:schemeClr val="bg2">
          <a:lumMod val="5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8.svg"/><Relationship Id="rId3" Type="http://schemas.openxmlformats.org/officeDocument/2006/relationships/chart" Target="../charts/chart9.xml"/><Relationship Id="rId7" Type="http://schemas.openxmlformats.org/officeDocument/2006/relationships/image" Target="../media/image2.svg"/><Relationship Id="rId12" Type="http://schemas.openxmlformats.org/officeDocument/2006/relationships/image" Target="../media/image7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image" Target="../media/image1.png"/><Relationship Id="rId11" Type="http://schemas.openxmlformats.org/officeDocument/2006/relationships/image" Target="../media/image6.svg"/><Relationship Id="rId5" Type="http://schemas.openxmlformats.org/officeDocument/2006/relationships/chart" Target="../charts/chart11.xml"/><Relationship Id="rId10" Type="http://schemas.openxmlformats.org/officeDocument/2006/relationships/image" Target="../media/image5.png"/><Relationship Id="rId4" Type="http://schemas.openxmlformats.org/officeDocument/2006/relationships/chart" Target="../charts/chart10.xml"/><Relationship Id="rId9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253134</xdr:colOff>
      <xdr:row>5</xdr:row>
      <xdr:rowOff>25111</xdr:rowOff>
    </xdr:from>
    <xdr:to>
      <xdr:col>12</xdr:col>
      <xdr:colOff>557934</xdr:colOff>
      <xdr:row>17</xdr:row>
      <xdr:rowOff>6061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293A4A-FBEA-4238-B2C0-90BA5EA30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174625</xdr:colOff>
      <xdr:row>18</xdr:row>
      <xdr:rowOff>130175</xdr:rowOff>
    </xdr:from>
    <xdr:to>
      <xdr:col>12</xdr:col>
      <xdr:colOff>479425</xdr:colOff>
      <xdr:row>32</xdr:row>
      <xdr:rowOff>111125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7B982D-9AF5-4A4D-91EB-52A67FB5D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206375</xdr:colOff>
      <xdr:row>33</xdr:row>
      <xdr:rowOff>161925</xdr:rowOff>
    </xdr:from>
    <xdr:to>
      <xdr:col>12</xdr:col>
      <xdr:colOff>511175</xdr:colOff>
      <xdr:row>47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6C1B2B-B378-4341-B718-16BAFBB2F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202405</xdr:colOff>
      <xdr:row>6</xdr:row>
      <xdr:rowOff>1587</xdr:rowOff>
    </xdr:from>
    <xdr:to>
      <xdr:col>24</xdr:col>
      <xdr:colOff>496093</xdr:colOff>
      <xdr:row>17</xdr:row>
      <xdr:rowOff>180974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EA7FCD-C632-4197-831D-51098A414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138906</xdr:colOff>
      <xdr:row>20</xdr:row>
      <xdr:rowOff>65087</xdr:rowOff>
    </xdr:from>
    <xdr:to>
      <xdr:col>25</xdr:col>
      <xdr:colOff>432593</xdr:colOff>
      <xdr:row>33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3792F4-C056-4019-A243-3522D1BDD5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204390</xdr:colOff>
      <xdr:row>6</xdr:row>
      <xdr:rowOff>19265</xdr:rowOff>
    </xdr:from>
    <xdr:to>
      <xdr:col>37</xdr:col>
      <xdr:colOff>532533</xdr:colOff>
      <xdr:row>17</xdr:row>
      <xdr:rowOff>151208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9F92FA8-C8A8-47D1-9CFD-122A66ADA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56697</xdr:colOff>
      <xdr:row>4</xdr:row>
      <xdr:rowOff>80736</xdr:rowOff>
    </xdr:from>
    <xdr:to>
      <xdr:col>3</xdr:col>
      <xdr:colOff>561069</xdr:colOff>
      <xdr:row>11</xdr:row>
      <xdr:rowOff>907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0776709-21A3-4260-ADF7-F791C0FBD20B}"/>
            </a:ext>
          </a:extLst>
        </xdr:cNvPr>
        <xdr:cNvSpPr/>
      </xdr:nvSpPr>
      <xdr:spPr>
        <a:xfrm>
          <a:off x="56697" y="806450"/>
          <a:ext cx="2341336" cy="1190171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000"/>
        </a:p>
      </xdr:txBody>
    </xdr:sp>
    <xdr:clientData/>
  </xdr:twoCellAnchor>
  <xdr:twoCellAnchor>
    <xdr:from>
      <xdr:col>4</xdr:col>
      <xdr:colOff>156482</xdr:colOff>
      <xdr:row>4</xdr:row>
      <xdr:rowOff>69397</xdr:rowOff>
    </xdr:from>
    <xdr:to>
      <xdr:col>8</xdr:col>
      <xdr:colOff>213632</xdr:colOff>
      <xdr:row>11</xdr:row>
      <xdr:rowOff>14968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D2E9070-A257-4D1B-9101-7FC15BBE9CE8}"/>
            </a:ext>
          </a:extLst>
        </xdr:cNvPr>
        <xdr:cNvSpPr/>
      </xdr:nvSpPr>
      <xdr:spPr>
        <a:xfrm>
          <a:off x="2605768" y="795111"/>
          <a:ext cx="2506435" cy="1215571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000"/>
        </a:p>
      </xdr:txBody>
    </xdr:sp>
    <xdr:clientData/>
  </xdr:twoCellAnchor>
  <xdr:twoCellAnchor>
    <xdr:from>
      <xdr:col>13</xdr:col>
      <xdr:colOff>68942</xdr:colOff>
      <xdr:row>4</xdr:row>
      <xdr:rowOff>34472</xdr:rowOff>
    </xdr:from>
    <xdr:to>
      <xdr:col>17</xdr:col>
      <xdr:colOff>238125</xdr:colOff>
      <xdr:row>11</xdr:row>
      <xdr:rowOff>45357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0A5F51C-D927-4981-94A8-82B2186D0367}"/>
            </a:ext>
          </a:extLst>
        </xdr:cNvPr>
        <xdr:cNvSpPr/>
      </xdr:nvSpPr>
      <xdr:spPr>
        <a:xfrm>
          <a:off x="8029121" y="760186"/>
          <a:ext cx="2618468" cy="1280885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350611</xdr:colOff>
      <xdr:row>4</xdr:row>
      <xdr:rowOff>58057</xdr:rowOff>
    </xdr:from>
    <xdr:to>
      <xdr:col>12</xdr:col>
      <xdr:colOff>518432</xdr:colOff>
      <xdr:row>11</xdr:row>
      <xdr:rowOff>41728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B80E5FC-4BCF-4E82-BC8B-26D50912349B}"/>
            </a:ext>
          </a:extLst>
        </xdr:cNvPr>
        <xdr:cNvSpPr/>
      </xdr:nvSpPr>
      <xdr:spPr>
        <a:xfrm>
          <a:off x="5249182" y="783771"/>
          <a:ext cx="2617107" cy="1253671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000"/>
        </a:p>
      </xdr:txBody>
    </xdr:sp>
    <xdr:clientData/>
  </xdr:twoCellAnchor>
  <xdr:twoCellAnchor>
    <xdr:from>
      <xdr:col>0</xdr:col>
      <xdr:colOff>452671</xdr:colOff>
      <xdr:row>6</xdr:row>
      <xdr:rowOff>121585</xdr:rowOff>
    </xdr:from>
    <xdr:to>
      <xdr:col>2</xdr:col>
      <xdr:colOff>565227</xdr:colOff>
      <xdr:row>11</xdr:row>
      <xdr:rowOff>129592</xdr:rowOff>
    </xdr:to>
    <xdr:sp macro="" textlink="Sheet2!H7">
      <xdr:nvSpPr>
        <xdr:cNvPr id="7" name="TextBox 6">
          <a:extLst>
            <a:ext uri="{FF2B5EF4-FFF2-40B4-BE49-F238E27FC236}">
              <a16:creationId xmlns:a16="http://schemas.microsoft.com/office/drawing/2014/main" id="{6473F698-0E74-4FFC-87F9-F625229716F5}"/>
            </a:ext>
          </a:extLst>
        </xdr:cNvPr>
        <xdr:cNvSpPr txBox="1"/>
      </xdr:nvSpPr>
      <xdr:spPr>
        <a:xfrm>
          <a:off x="452671" y="1210156"/>
          <a:ext cx="1330719" cy="915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363E1CB-FD9E-4752-8EDF-630AB5116BCC}" type="TxLink">
            <a:rPr lang="en-US" sz="1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 ₹54,842.00 </a:t>
          </a:fld>
          <a:r>
            <a:rPr lang="en-US" sz="1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 Crores</a:t>
          </a:r>
        </a:p>
      </xdr:txBody>
    </xdr:sp>
    <xdr:clientData/>
  </xdr:twoCellAnchor>
  <xdr:twoCellAnchor>
    <xdr:from>
      <xdr:col>0</xdr:col>
      <xdr:colOff>135618</xdr:colOff>
      <xdr:row>4</xdr:row>
      <xdr:rowOff>30390</xdr:rowOff>
    </xdr:from>
    <xdr:to>
      <xdr:col>3</xdr:col>
      <xdr:colOff>176440</xdr:colOff>
      <xdr:row>8</xdr:row>
      <xdr:rowOff>84818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A9D59AA-B97D-4C58-B5DD-50800D4948BE}"/>
            </a:ext>
          </a:extLst>
        </xdr:cNvPr>
        <xdr:cNvSpPr txBox="1"/>
      </xdr:nvSpPr>
      <xdr:spPr>
        <a:xfrm>
          <a:off x="135618" y="756104"/>
          <a:ext cx="1877786" cy="780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>
                  <a:lumMod val="75000"/>
                </a:schemeClr>
              </a:solidFill>
            </a:rPr>
            <a:t>REVENUE</a:t>
          </a:r>
        </a:p>
      </xdr:txBody>
    </xdr:sp>
    <xdr:clientData/>
  </xdr:twoCellAnchor>
  <xdr:twoCellAnchor>
    <xdr:from>
      <xdr:col>4</xdr:col>
      <xdr:colOff>526596</xdr:colOff>
      <xdr:row>6</xdr:row>
      <xdr:rowOff>131989</xdr:rowOff>
    </xdr:from>
    <xdr:to>
      <xdr:col>7</xdr:col>
      <xdr:colOff>412296</xdr:colOff>
      <xdr:row>10</xdr:row>
      <xdr:rowOff>106588</xdr:rowOff>
    </xdr:to>
    <xdr:sp macro="" textlink="Sheet2!H13">
      <xdr:nvSpPr>
        <xdr:cNvPr id="9" name="TextBox 8">
          <a:extLst>
            <a:ext uri="{FF2B5EF4-FFF2-40B4-BE49-F238E27FC236}">
              <a16:creationId xmlns:a16="http://schemas.microsoft.com/office/drawing/2014/main" id="{83147FF4-6BA7-4F46-AABD-7104E55CC4F2}"/>
            </a:ext>
          </a:extLst>
        </xdr:cNvPr>
        <xdr:cNvSpPr txBox="1"/>
      </xdr:nvSpPr>
      <xdr:spPr>
        <a:xfrm>
          <a:off x="2975882" y="1220560"/>
          <a:ext cx="1722664" cy="7003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35A1AF2-06BF-4363-A606-BFE3E30951EB}" type="TxLink">
            <a:rPr lang="en-US" sz="1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 ₹3,335.00 </a:t>
          </a:fld>
          <a:r>
            <a:rPr lang="en-US" sz="1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 Crores</a:t>
          </a:r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570593</xdr:colOff>
      <xdr:row>4</xdr:row>
      <xdr:rowOff>23132</xdr:rowOff>
    </xdr:from>
    <xdr:to>
      <xdr:col>7</xdr:col>
      <xdr:colOff>456293</xdr:colOff>
      <xdr:row>7</xdr:row>
      <xdr:rowOff>179160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5B8FC53-BD8E-4DA3-B750-44F2A73B51B0}"/>
            </a:ext>
          </a:extLst>
        </xdr:cNvPr>
        <xdr:cNvSpPr txBox="1"/>
      </xdr:nvSpPr>
      <xdr:spPr>
        <a:xfrm>
          <a:off x="3019879" y="748846"/>
          <a:ext cx="1722664" cy="7003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t>NET</a:t>
          </a:r>
          <a:r>
            <a:rPr lang="en-US" sz="2000" b="1" i="0" u="none" strike="noStrike" baseline="0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t> PROFIT</a:t>
          </a:r>
          <a:endParaRPr lang="en-US" sz="2000" b="1" i="0" u="none" strike="noStrike">
            <a:solidFill>
              <a:schemeClr val="bg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438604</xdr:colOff>
      <xdr:row>7</xdr:row>
      <xdr:rowOff>118835</xdr:rowOff>
    </xdr:from>
    <xdr:to>
      <xdr:col>16</xdr:col>
      <xdr:colOff>321583</xdr:colOff>
      <xdr:row>11</xdr:row>
      <xdr:rowOff>93435</xdr:rowOff>
    </xdr:to>
    <xdr:sp macro="" textlink="Sheet4!H7">
      <xdr:nvSpPr>
        <xdr:cNvPr id="12" name="TextBox 11">
          <a:extLst>
            <a:ext uri="{FF2B5EF4-FFF2-40B4-BE49-F238E27FC236}">
              <a16:creationId xmlns:a16="http://schemas.microsoft.com/office/drawing/2014/main" id="{81001B44-05CE-4FBC-B255-1F2DDBC72341}"/>
            </a:ext>
          </a:extLst>
        </xdr:cNvPr>
        <xdr:cNvSpPr txBox="1"/>
      </xdr:nvSpPr>
      <xdr:spPr>
        <a:xfrm>
          <a:off x="8398783" y="1388835"/>
          <a:ext cx="1719943" cy="7003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CDE9565-F9EC-4678-90C2-46EB0BB6CFEC}" type="TxLink">
            <a:rPr lang="en-US" sz="1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1.90</a:t>
          </a:fld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534307</xdr:colOff>
      <xdr:row>4</xdr:row>
      <xdr:rowOff>50348</xdr:rowOff>
    </xdr:from>
    <xdr:to>
      <xdr:col>16</xdr:col>
      <xdr:colOff>417286</xdr:colOff>
      <xdr:row>8</xdr:row>
      <xdr:rowOff>111126</xdr:rowOff>
    </xdr:to>
    <xdr:sp macro="" textlink="Sheet2!H13">
      <xdr:nvSpPr>
        <xdr:cNvPr id="13" name="TextBox 12">
          <a:extLst>
            <a:ext uri="{FF2B5EF4-FFF2-40B4-BE49-F238E27FC236}">
              <a16:creationId xmlns:a16="http://schemas.microsoft.com/office/drawing/2014/main" id="{878249AB-0C87-449F-BFBA-4D9B2DD4F4A4}"/>
            </a:ext>
          </a:extLst>
        </xdr:cNvPr>
        <xdr:cNvSpPr txBox="1"/>
      </xdr:nvSpPr>
      <xdr:spPr>
        <a:xfrm>
          <a:off x="8494486" y="776062"/>
          <a:ext cx="1719943" cy="7864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solidFill>
                <a:schemeClr val="bg1">
                  <a:lumMod val="75000"/>
                </a:schemeClr>
              </a:solidFill>
            </a:rPr>
            <a:t>CURRENT</a:t>
          </a:r>
          <a:r>
            <a:rPr lang="en-US" sz="1800" b="1" baseline="0">
              <a:solidFill>
                <a:schemeClr val="bg1">
                  <a:lumMod val="75000"/>
                </a:schemeClr>
              </a:solidFill>
            </a:rPr>
            <a:t> RATIO</a:t>
          </a:r>
        </a:p>
      </xdr:txBody>
    </xdr:sp>
    <xdr:clientData/>
  </xdr:twoCellAnchor>
  <xdr:twoCellAnchor>
    <xdr:from>
      <xdr:col>9</xdr:col>
      <xdr:colOff>151946</xdr:colOff>
      <xdr:row>4</xdr:row>
      <xdr:rowOff>46718</xdr:rowOff>
    </xdr:from>
    <xdr:to>
      <xdr:col>12</xdr:col>
      <xdr:colOff>37646</xdr:colOff>
      <xdr:row>8</xdr:row>
      <xdr:rowOff>21318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467FB66-7399-4917-BDAC-0EDAE3330BA2}"/>
            </a:ext>
          </a:extLst>
        </xdr:cNvPr>
        <xdr:cNvSpPr txBox="1"/>
      </xdr:nvSpPr>
      <xdr:spPr>
        <a:xfrm>
          <a:off x="5662839" y="772432"/>
          <a:ext cx="1722664" cy="700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t>ROE</a:t>
          </a:r>
        </a:p>
      </xdr:txBody>
    </xdr:sp>
    <xdr:clientData/>
  </xdr:twoCellAnchor>
  <xdr:twoCellAnchor>
    <xdr:from>
      <xdr:col>9</xdr:col>
      <xdr:colOff>119290</xdr:colOff>
      <xdr:row>6</xdr:row>
      <xdr:rowOff>173719</xdr:rowOff>
    </xdr:from>
    <xdr:to>
      <xdr:col>12</xdr:col>
      <xdr:colOff>4990</xdr:colOff>
      <xdr:row>10</xdr:row>
      <xdr:rowOff>129268</xdr:rowOff>
    </xdr:to>
    <xdr:sp macro="" textlink="Sheet4!H10">
      <xdr:nvSpPr>
        <xdr:cNvPr id="15" name="TextBox 14">
          <a:extLst>
            <a:ext uri="{FF2B5EF4-FFF2-40B4-BE49-F238E27FC236}">
              <a16:creationId xmlns:a16="http://schemas.microsoft.com/office/drawing/2014/main" id="{CEF7CCF3-10E6-4854-AA64-1AEED59B324A}"/>
            </a:ext>
          </a:extLst>
        </xdr:cNvPr>
        <xdr:cNvSpPr txBox="1"/>
      </xdr:nvSpPr>
      <xdr:spPr>
        <a:xfrm>
          <a:off x="5630183" y="1262290"/>
          <a:ext cx="1722664" cy="6812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F602051-0CF7-498F-AEE4-3DF71EA863BD}" type="TxLink">
            <a:rPr lang="en-US" sz="1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19.84%</a:t>
          </a:fld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474889</xdr:colOff>
      <xdr:row>4</xdr:row>
      <xdr:rowOff>38554</xdr:rowOff>
    </xdr:from>
    <xdr:to>
      <xdr:col>22</xdr:col>
      <xdr:colOff>79375</xdr:colOff>
      <xdr:row>11</xdr:row>
      <xdr:rowOff>93982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0A6BC26F-4743-4216-8C28-CDE24A0DF661}"/>
            </a:ext>
          </a:extLst>
        </xdr:cNvPr>
        <xdr:cNvSpPr/>
      </xdr:nvSpPr>
      <xdr:spPr>
        <a:xfrm>
          <a:off x="10884353" y="764268"/>
          <a:ext cx="2666093" cy="1325428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166914</xdr:colOff>
      <xdr:row>3</xdr:row>
      <xdr:rowOff>127000</xdr:rowOff>
    </xdr:from>
    <xdr:to>
      <xdr:col>21</xdr:col>
      <xdr:colOff>43543</xdr:colOff>
      <xdr:row>8</xdr:row>
      <xdr:rowOff>133350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4BC4209-62A9-428F-AE7C-9252A2A8C5F7}"/>
            </a:ext>
          </a:extLst>
        </xdr:cNvPr>
        <xdr:cNvSpPr txBox="1"/>
      </xdr:nvSpPr>
      <xdr:spPr>
        <a:xfrm>
          <a:off x="11188700" y="671286"/>
          <a:ext cx="1713593" cy="9134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>
                  <a:lumMod val="75000"/>
                </a:schemeClr>
              </a:solidFill>
            </a:rPr>
            <a:t>ASSET TURNOVER</a:t>
          </a:r>
        </a:p>
      </xdr:txBody>
    </xdr:sp>
    <xdr:clientData/>
  </xdr:twoCellAnchor>
  <xdr:twoCellAnchor>
    <xdr:from>
      <xdr:col>18</xdr:col>
      <xdr:colOff>195846</xdr:colOff>
      <xdr:row>6</xdr:row>
      <xdr:rowOff>139797</xdr:rowOff>
    </xdr:from>
    <xdr:to>
      <xdr:col>21</xdr:col>
      <xdr:colOff>72475</xdr:colOff>
      <xdr:row>11</xdr:row>
      <xdr:rowOff>146146</xdr:rowOff>
    </xdr:to>
    <xdr:sp macro="" textlink="Sheet4!H11">
      <xdr:nvSpPr>
        <xdr:cNvPr id="19" name="TextBox 18">
          <a:extLst>
            <a:ext uri="{FF2B5EF4-FFF2-40B4-BE49-F238E27FC236}">
              <a16:creationId xmlns:a16="http://schemas.microsoft.com/office/drawing/2014/main" id="{0F9919DC-B2F1-4EC5-9771-571E0102EC0B}"/>
            </a:ext>
          </a:extLst>
        </xdr:cNvPr>
        <xdr:cNvSpPr txBox="1"/>
      </xdr:nvSpPr>
      <xdr:spPr>
        <a:xfrm>
          <a:off x="11139463" y="1274691"/>
          <a:ext cx="1700565" cy="952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C073946-40BF-47B3-9DD2-664C074429D9}" type="TxLink">
            <a:rPr lang="en-US" sz="1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1.34</a:t>
          </a:fld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223800</xdr:colOff>
      <xdr:row>12</xdr:row>
      <xdr:rowOff>123338</xdr:rowOff>
    </xdr:from>
    <xdr:to>
      <xdr:col>17</xdr:col>
      <xdr:colOff>524590</xdr:colOff>
      <xdr:row>28</xdr:row>
      <xdr:rowOff>78776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0097F68-1449-4E20-B86A-E7EC27C88158}"/>
            </a:ext>
          </a:extLst>
        </xdr:cNvPr>
        <xdr:cNvSpPr/>
      </xdr:nvSpPr>
      <xdr:spPr>
        <a:xfrm>
          <a:off x="5734693" y="2300481"/>
          <a:ext cx="5199361" cy="2858295"/>
        </a:xfrm>
        <a:prstGeom prst="rect">
          <a:avLst/>
        </a:prstGeom>
        <a:solidFill>
          <a:schemeClr val="tx2"/>
        </a:solidFill>
        <a:effectLst>
          <a:glow rad="1016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371929</xdr:colOff>
      <xdr:row>13</xdr:row>
      <xdr:rowOff>133805</xdr:rowOff>
    </xdr:from>
    <xdr:to>
      <xdr:col>17</xdr:col>
      <xdr:colOff>353786</xdr:colOff>
      <xdr:row>27</xdr:row>
      <xdr:rowOff>142877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FE87724-9A13-4DFC-B6D3-CBFC96F84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201918</xdr:colOff>
      <xdr:row>12</xdr:row>
      <xdr:rowOff>89520</xdr:rowOff>
    </xdr:from>
    <xdr:to>
      <xdr:col>8</xdr:col>
      <xdr:colOff>502708</xdr:colOff>
      <xdr:row>28</xdr:row>
      <xdr:rowOff>44958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A430743-003C-49FE-8A8A-026C757046DC}"/>
            </a:ext>
          </a:extLst>
        </xdr:cNvPr>
        <xdr:cNvSpPr/>
      </xdr:nvSpPr>
      <xdr:spPr>
        <a:xfrm>
          <a:off x="201918" y="2266663"/>
          <a:ext cx="5199361" cy="2858295"/>
        </a:xfrm>
        <a:prstGeom prst="rect">
          <a:avLst/>
        </a:prstGeom>
        <a:solidFill>
          <a:schemeClr val="tx2"/>
        </a:solidFill>
        <a:effectLst>
          <a:glow rad="1016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337912</xdr:colOff>
      <xdr:row>13</xdr:row>
      <xdr:rowOff>81642</xdr:rowOff>
    </xdr:from>
    <xdr:to>
      <xdr:col>8</xdr:col>
      <xdr:colOff>419554</xdr:colOff>
      <xdr:row>28</xdr:row>
      <xdr:rowOff>45356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4DD9F485-0C89-4B05-8B98-6839F8CB6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282290</xdr:colOff>
      <xdr:row>29</xdr:row>
      <xdr:rowOff>156762</xdr:rowOff>
    </xdr:from>
    <xdr:to>
      <xdr:col>8</xdr:col>
      <xdr:colOff>583080</xdr:colOff>
      <xdr:row>45</xdr:row>
      <xdr:rowOff>112201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D6EBA61A-7C56-4289-90F0-A12BBCB33B4E}"/>
            </a:ext>
          </a:extLst>
        </xdr:cNvPr>
        <xdr:cNvSpPr/>
      </xdr:nvSpPr>
      <xdr:spPr>
        <a:xfrm>
          <a:off x="282290" y="5418191"/>
          <a:ext cx="5199361" cy="2858296"/>
        </a:xfrm>
        <a:prstGeom prst="rect">
          <a:avLst/>
        </a:prstGeom>
        <a:solidFill>
          <a:schemeClr val="tx2"/>
        </a:solidFill>
        <a:effectLst>
          <a:glow rad="1016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230684</xdr:colOff>
      <xdr:row>12</xdr:row>
      <xdr:rowOff>151152</xdr:rowOff>
    </xdr:from>
    <xdr:to>
      <xdr:col>26</xdr:col>
      <xdr:colOff>531474</xdr:colOff>
      <xdr:row>28</xdr:row>
      <xdr:rowOff>106591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7B7385F7-7F69-4A6B-AB74-2AF5E90B1C23}"/>
            </a:ext>
          </a:extLst>
        </xdr:cNvPr>
        <xdr:cNvSpPr/>
      </xdr:nvSpPr>
      <xdr:spPr>
        <a:xfrm>
          <a:off x="11252470" y="2328295"/>
          <a:ext cx="5199361" cy="2858296"/>
        </a:xfrm>
        <a:prstGeom prst="rect">
          <a:avLst/>
        </a:prstGeom>
        <a:solidFill>
          <a:schemeClr val="tx2"/>
        </a:solidFill>
        <a:effectLst>
          <a:glow rad="1016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462643</xdr:colOff>
      <xdr:row>31</xdr:row>
      <xdr:rowOff>136071</xdr:rowOff>
    </xdr:from>
    <xdr:to>
      <xdr:col>8</xdr:col>
      <xdr:colOff>408215</xdr:colOff>
      <xdr:row>45</xdr:row>
      <xdr:rowOff>120196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99F9B57-364B-47C2-A408-8DFF4C392A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374196</xdr:colOff>
      <xdr:row>14</xdr:row>
      <xdr:rowOff>11339</xdr:rowOff>
    </xdr:from>
    <xdr:to>
      <xdr:col>26</xdr:col>
      <xdr:colOff>353786</xdr:colOff>
      <xdr:row>27</xdr:row>
      <xdr:rowOff>128354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E80C7EA1-02A1-47E3-B940-BCF3C8111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308087</xdr:colOff>
      <xdr:row>29</xdr:row>
      <xdr:rowOff>165168</xdr:rowOff>
    </xdr:from>
    <xdr:to>
      <xdr:col>17</xdr:col>
      <xdr:colOff>608877</xdr:colOff>
      <xdr:row>45</xdr:row>
      <xdr:rowOff>120607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E4B4060-9003-411C-80A5-CA41DA03262F}"/>
            </a:ext>
          </a:extLst>
        </xdr:cNvPr>
        <xdr:cNvSpPr/>
      </xdr:nvSpPr>
      <xdr:spPr>
        <a:xfrm>
          <a:off x="5807427" y="5376960"/>
          <a:ext cx="5189092" cy="2830911"/>
        </a:xfrm>
        <a:prstGeom prst="rect">
          <a:avLst/>
        </a:prstGeom>
        <a:solidFill>
          <a:schemeClr val="tx2"/>
        </a:solidFill>
        <a:effectLst>
          <a:glow rad="1016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463549</xdr:colOff>
      <xdr:row>30</xdr:row>
      <xdr:rowOff>104929</xdr:rowOff>
    </xdr:from>
    <xdr:to>
      <xdr:col>17</xdr:col>
      <xdr:colOff>419338</xdr:colOff>
      <xdr:row>45</xdr:row>
      <xdr:rowOff>134818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0F45289-9F6F-4F0C-901B-D4A9A15CB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347453</xdr:colOff>
      <xdr:row>30</xdr:row>
      <xdr:rowOff>11981</xdr:rowOff>
    </xdr:from>
    <xdr:to>
      <xdr:col>27</xdr:col>
      <xdr:colOff>37205</xdr:colOff>
      <xdr:row>45</xdr:row>
      <xdr:rowOff>147137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BDE3288-B551-4A99-97B4-77C514EAFBEA}"/>
            </a:ext>
          </a:extLst>
        </xdr:cNvPr>
        <xdr:cNvSpPr/>
      </xdr:nvSpPr>
      <xdr:spPr>
        <a:xfrm>
          <a:off x="11346132" y="5403490"/>
          <a:ext cx="5189092" cy="2830911"/>
        </a:xfrm>
        <a:prstGeom prst="rect">
          <a:avLst/>
        </a:prstGeom>
        <a:solidFill>
          <a:schemeClr val="tx2"/>
        </a:solidFill>
        <a:effectLst>
          <a:glow rad="1016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800" b="0"/>
            <a:t>                                </a:t>
          </a:r>
          <a:r>
            <a:rPr lang="en-US" sz="2800" b="1"/>
            <a:t>Key Insights  </a:t>
          </a:r>
        </a:p>
        <a:p>
          <a:endParaRPr lang="en-US" sz="1800" b="0"/>
        </a:p>
        <a:p>
          <a:r>
            <a:rPr lang="en-US" sz="1800" b="0"/>
            <a:t>     </a:t>
          </a:r>
          <a:r>
            <a:rPr lang="en-US" sz="1800" b="1" i="1" u="sng"/>
            <a:t>Revenue increased from ₹21,000 Cr to ₹54,842 Cr.</a:t>
          </a:r>
        </a:p>
        <a:p>
          <a:r>
            <a:rPr lang="en-US" sz="1800" b="1" i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</a:t>
          </a:r>
        </a:p>
        <a:p>
          <a:r>
            <a:rPr lang="en-US" sz="1800" b="1" i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800" b="1" i="1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Net Profit showed strong growth over five years. </a:t>
          </a:r>
        </a:p>
        <a:p>
          <a:endParaRPr lang="en-US" sz="1800" b="1" i="1" u="sng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</a:t>
          </a:r>
          <a:r>
            <a:rPr lang="en-US" sz="1800" b="1" i="1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ROE improved steadily, indicating better shareholder returns. </a:t>
          </a:r>
          <a:endParaRPr lang="en-US" sz="1800" b="1" i="1" u="sng">
            <a:effectLst/>
          </a:endParaRPr>
        </a:p>
        <a:p>
          <a:r>
            <a:rPr lang="en-US" sz="1100" b="1" i="1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800">
            <a:effectLst/>
          </a:endParaRPr>
        </a:p>
        <a:p>
          <a:endParaRPr lang="en-US" sz="1800" b="1" i="1" u="sng">
            <a:effectLst/>
          </a:endParaRPr>
        </a:p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596899</xdr:colOff>
      <xdr:row>0</xdr:row>
      <xdr:rowOff>0</xdr:rowOff>
    </xdr:from>
    <xdr:to>
      <xdr:col>4</xdr:col>
      <xdr:colOff>145072</xdr:colOff>
      <xdr:row>4</xdr:row>
      <xdr:rowOff>36635</xdr:rowOff>
    </xdr:to>
    <xdr:pic>
      <xdr:nvPicPr>
        <xdr:cNvPr id="10" name="Graphic 9" descr="Bar graph with upward trend with solid fill">
          <a:extLst>
            <a:ext uri="{FF2B5EF4-FFF2-40B4-BE49-F238E27FC236}">
              <a16:creationId xmlns:a16="http://schemas.microsoft.com/office/drawing/2014/main" id="{BA97EFFE-9D50-4E67-8B75-66C85462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818053" y="0"/>
          <a:ext cx="769327" cy="769327"/>
        </a:xfrm>
        <a:prstGeom prst="rect">
          <a:avLst/>
        </a:prstGeom>
      </xdr:spPr>
    </xdr:pic>
    <xdr:clientData/>
  </xdr:twoCellAnchor>
  <xdr:twoCellAnchor editAs="oneCell">
    <xdr:from>
      <xdr:col>16</xdr:col>
      <xdr:colOff>85480</xdr:colOff>
      <xdr:row>0</xdr:row>
      <xdr:rowOff>0</xdr:rowOff>
    </xdr:from>
    <xdr:to>
      <xdr:col>17</xdr:col>
      <xdr:colOff>425938</xdr:colOff>
      <xdr:row>4</xdr:row>
      <xdr:rowOff>84016</xdr:rowOff>
    </xdr:to>
    <xdr:pic>
      <xdr:nvPicPr>
        <xdr:cNvPr id="23" name="Graphic 22" descr="Earth Globe - Asia with solid fill">
          <a:extLst>
            <a:ext uri="{FF2B5EF4-FFF2-40B4-BE49-F238E27FC236}">
              <a16:creationId xmlns:a16="http://schemas.microsoft.com/office/drawing/2014/main" id="{91F0A1AC-C6DE-49CC-A955-7769741D0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854711" y="0"/>
          <a:ext cx="951035" cy="816708"/>
        </a:xfrm>
        <a:prstGeom prst="rect">
          <a:avLst/>
        </a:prstGeom>
      </xdr:spPr>
    </xdr:pic>
    <xdr:clientData/>
  </xdr:twoCellAnchor>
  <xdr:twoCellAnchor editAs="oneCell">
    <xdr:from>
      <xdr:col>22</xdr:col>
      <xdr:colOff>195385</xdr:colOff>
      <xdr:row>1</xdr:row>
      <xdr:rowOff>109904</xdr:rowOff>
    </xdr:from>
    <xdr:to>
      <xdr:col>25</xdr:col>
      <xdr:colOff>511420</xdr:colOff>
      <xdr:row>13</xdr:row>
      <xdr:rowOff>59593</xdr:rowOff>
    </xdr:to>
    <xdr:pic>
      <xdr:nvPicPr>
        <xdr:cNvPr id="33" name="Graphic 32" descr="Bar chart with solid fill">
          <a:extLst>
            <a:ext uri="{FF2B5EF4-FFF2-40B4-BE49-F238E27FC236}">
              <a16:creationId xmlns:a16="http://schemas.microsoft.com/office/drawing/2014/main" id="{00CB6BFE-B1C5-4B37-9484-3E045497A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3628077" y="293077"/>
          <a:ext cx="2147766" cy="2147766"/>
        </a:xfrm>
        <a:prstGeom prst="rect">
          <a:avLst/>
        </a:prstGeom>
        <a:effectLst>
          <a:glow rad="139700">
            <a:schemeClr val="accent3">
              <a:satMod val="175000"/>
              <a:alpha val="40000"/>
            </a:schemeClr>
          </a:glow>
        </a:effectLst>
      </xdr:spPr>
    </xdr:pic>
    <xdr:clientData/>
  </xdr:twoCellAnchor>
  <xdr:twoCellAnchor editAs="oneCell">
    <xdr:from>
      <xdr:col>9</xdr:col>
      <xdr:colOff>460375</xdr:colOff>
      <xdr:row>32</xdr:row>
      <xdr:rowOff>111125</xdr:rowOff>
    </xdr:from>
    <xdr:to>
      <xdr:col>11</xdr:col>
      <xdr:colOff>345439</xdr:colOff>
      <xdr:row>38</xdr:row>
      <xdr:rowOff>56696</xdr:rowOff>
    </xdr:to>
    <xdr:pic>
      <xdr:nvPicPr>
        <xdr:cNvPr id="35" name="Graphic 34" descr="User with solid fill">
          <a:extLst>
            <a:ext uri="{FF2B5EF4-FFF2-40B4-BE49-F238E27FC236}">
              <a16:creationId xmlns:a16="http://schemas.microsoft.com/office/drawing/2014/main" id="{B3431A80-9961-4596-A1FE-F3466713B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5971268" y="5916839"/>
          <a:ext cx="1109707" cy="1034143"/>
        </a:xfrm>
        <a:prstGeom prst="rect">
          <a:avLst/>
        </a:prstGeom>
        <a:effectLst>
          <a:glow rad="139700">
            <a:schemeClr val="accent3">
              <a:satMod val="175000"/>
              <a:alpha val="40000"/>
            </a:schemeClr>
          </a:glow>
        </a:effectLst>
      </xdr:spPr>
    </xdr:pic>
    <xdr:clientData/>
  </xdr:twoCellAnchor>
  <xdr:twoCellAnchor>
    <xdr:from>
      <xdr:col>18</xdr:col>
      <xdr:colOff>369835</xdr:colOff>
      <xdr:row>33</xdr:row>
      <xdr:rowOff>175498</xdr:rowOff>
    </xdr:from>
    <xdr:to>
      <xdr:col>19</xdr:col>
      <xdr:colOff>55126</xdr:colOff>
      <xdr:row>36</xdr:row>
      <xdr:rowOff>18492</xdr:rowOff>
    </xdr:to>
    <xdr:sp macro="" textlink="">
      <xdr:nvSpPr>
        <xdr:cNvPr id="36" name="Arrow: Chevron 35">
          <a:extLst>
            <a:ext uri="{FF2B5EF4-FFF2-40B4-BE49-F238E27FC236}">
              <a16:creationId xmlns:a16="http://schemas.microsoft.com/office/drawing/2014/main" id="{62B3D6EF-662E-47F5-8A22-AD3542310F01}"/>
            </a:ext>
          </a:extLst>
        </xdr:cNvPr>
        <xdr:cNvSpPr/>
      </xdr:nvSpPr>
      <xdr:spPr>
        <a:xfrm>
          <a:off x="11309978" y="6162641"/>
          <a:ext cx="293077" cy="387280"/>
        </a:xfrm>
        <a:prstGeom prst="chevron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399142</xdr:colOff>
      <xdr:row>37</xdr:row>
      <xdr:rowOff>36286</xdr:rowOff>
    </xdr:from>
    <xdr:to>
      <xdr:col>19</xdr:col>
      <xdr:colOff>84433</xdr:colOff>
      <xdr:row>39</xdr:row>
      <xdr:rowOff>60709</xdr:rowOff>
    </xdr:to>
    <xdr:sp macro="" textlink="">
      <xdr:nvSpPr>
        <xdr:cNvPr id="37" name="Arrow: Chevron 36">
          <a:extLst>
            <a:ext uri="{FF2B5EF4-FFF2-40B4-BE49-F238E27FC236}">
              <a16:creationId xmlns:a16="http://schemas.microsoft.com/office/drawing/2014/main" id="{CB406CF4-D276-4E78-B8A4-9417375AAB2E}"/>
            </a:ext>
          </a:extLst>
        </xdr:cNvPr>
        <xdr:cNvSpPr/>
      </xdr:nvSpPr>
      <xdr:spPr>
        <a:xfrm>
          <a:off x="11339285" y="6749143"/>
          <a:ext cx="293077" cy="387280"/>
        </a:xfrm>
        <a:prstGeom prst="chevron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371928</xdr:colOff>
      <xdr:row>39</xdr:row>
      <xdr:rowOff>163287</xdr:rowOff>
    </xdr:from>
    <xdr:to>
      <xdr:col>19</xdr:col>
      <xdr:colOff>57219</xdr:colOff>
      <xdr:row>42</xdr:row>
      <xdr:rowOff>6281</xdr:rowOff>
    </xdr:to>
    <xdr:sp macro="" textlink="">
      <xdr:nvSpPr>
        <xdr:cNvPr id="38" name="Arrow: Chevron 37">
          <a:extLst>
            <a:ext uri="{FF2B5EF4-FFF2-40B4-BE49-F238E27FC236}">
              <a16:creationId xmlns:a16="http://schemas.microsoft.com/office/drawing/2014/main" id="{6E37BCCA-345A-46C6-B134-9D30B70BF5FF}"/>
            </a:ext>
          </a:extLst>
        </xdr:cNvPr>
        <xdr:cNvSpPr/>
      </xdr:nvSpPr>
      <xdr:spPr>
        <a:xfrm>
          <a:off x="11312071" y="7239001"/>
          <a:ext cx="293077" cy="387280"/>
        </a:xfrm>
        <a:prstGeom prst="chevron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FAD39-1168-48E1-B69D-3541009DA8FD}">
  <dimension ref="E1:J12"/>
  <sheetViews>
    <sheetView topLeftCell="C1" workbookViewId="0">
      <selection activeCell="G17" sqref="G17"/>
    </sheetView>
  </sheetViews>
  <sheetFormatPr defaultRowHeight="14.5" x14ac:dyDescent="0.35"/>
  <cols>
    <col min="5" max="5" width="21.54296875" customWidth="1"/>
    <col min="6" max="10" width="10.7265625" bestFit="1" customWidth="1"/>
  </cols>
  <sheetData>
    <row r="1" spans="5:10" x14ac:dyDescent="0.35">
      <c r="E1" s="20" t="s">
        <v>17</v>
      </c>
      <c r="F1" s="20"/>
      <c r="G1" s="20"/>
      <c r="H1" s="20"/>
      <c r="I1" s="20"/>
      <c r="J1" s="20"/>
    </row>
    <row r="2" spans="5:10" x14ac:dyDescent="0.35">
      <c r="E2" s="20"/>
      <c r="F2" s="20"/>
      <c r="G2" s="20"/>
      <c r="H2" s="20"/>
      <c r="I2" s="20"/>
      <c r="J2" s="20"/>
    </row>
    <row r="3" spans="5:10" x14ac:dyDescent="0.35">
      <c r="E3" s="20"/>
      <c r="F3" s="20"/>
      <c r="G3" s="20"/>
      <c r="H3" s="20"/>
      <c r="I3" s="20"/>
      <c r="J3" s="20"/>
    </row>
    <row r="4" spans="5:10" x14ac:dyDescent="0.35">
      <c r="E4" s="5" t="s">
        <v>0</v>
      </c>
      <c r="F4" s="5">
        <v>2021</v>
      </c>
      <c r="G4" s="5">
        <v>2022</v>
      </c>
      <c r="H4" s="5">
        <v>2023</v>
      </c>
      <c r="I4" s="5">
        <v>2024</v>
      </c>
      <c r="J4" s="5">
        <v>2025</v>
      </c>
    </row>
    <row r="5" spans="5:10" x14ac:dyDescent="0.35">
      <c r="E5" s="6" t="s">
        <v>1</v>
      </c>
      <c r="F5" s="26">
        <v>15860</v>
      </c>
      <c r="G5" s="26">
        <v>20137</v>
      </c>
      <c r="H5" s="26">
        <v>25088</v>
      </c>
      <c r="I5" s="26">
        <v>32862</v>
      </c>
      <c r="J5" s="26">
        <v>41075</v>
      </c>
    </row>
    <row r="6" spans="5:10" x14ac:dyDescent="0.35">
      <c r="E6" s="6" t="s">
        <v>2</v>
      </c>
      <c r="F6" s="26">
        <v>7553</v>
      </c>
      <c r="G6" s="26">
        <v>9373</v>
      </c>
      <c r="H6" s="26">
        <v>11994</v>
      </c>
      <c r="I6" s="26">
        <v>14457</v>
      </c>
      <c r="J6" s="26">
        <v>16811</v>
      </c>
    </row>
    <row r="7" spans="5:10" x14ac:dyDescent="0.35">
      <c r="E7" s="6" t="s">
        <v>3</v>
      </c>
      <c r="F7" s="26">
        <v>1114</v>
      </c>
      <c r="G7" s="26">
        <v>1205</v>
      </c>
      <c r="H7" s="26">
        <v>1573</v>
      </c>
      <c r="I7" s="26">
        <v>5043</v>
      </c>
      <c r="J7" s="26">
        <v>2619</v>
      </c>
    </row>
    <row r="8" spans="5:10" x14ac:dyDescent="0.35">
      <c r="E8" s="6" t="s">
        <v>7</v>
      </c>
      <c r="F8" s="26">
        <v>7193</v>
      </c>
      <c r="G8" s="26">
        <v>9559</v>
      </c>
      <c r="H8" s="26">
        <v>11521</v>
      </c>
      <c r="I8" s="26">
        <v>13362</v>
      </c>
      <c r="J8" s="26">
        <v>21645</v>
      </c>
    </row>
    <row r="9" spans="5:10" x14ac:dyDescent="0.35">
      <c r="E9" s="6" t="s">
        <v>4</v>
      </c>
      <c r="F9" s="26">
        <v>7984</v>
      </c>
      <c r="G9" s="26">
        <v>12787</v>
      </c>
      <c r="H9" s="26">
        <v>14952</v>
      </c>
      <c r="I9" s="26">
        <v>16874</v>
      </c>
      <c r="J9" s="26">
        <v>24517</v>
      </c>
    </row>
    <row r="10" spans="5:10" x14ac:dyDescent="0.35">
      <c r="E10" s="6" t="s">
        <v>5</v>
      </c>
      <c r="F10" s="26">
        <v>147</v>
      </c>
      <c r="G10" s="26">
        <v>117</v>
      </c>
      <c r="H10" s="26">
        <v>119</v>
      </c>
      <c r="I10" s="26">
        <v>272</v>
      </c>
      <c r="J10" s="26">
        <v>243</v>
      </c>
    </row>
    <row r="11" spans="5:10" x14ac:dyDescent="0.35">
      <c r="E11" s="6" t="s">
        <v>6</v>
      </c>
      <c r="F11" s="26">
        <v>0</v>
      </c>
      <c r="G11" s="26">
        <v>225</v>
      </c>
      <c r="H11" s="26">
        <v>1190</v>
      </c>
      <c r="I11" s="26">
        <v>3139</v>
      </c>
      <c r="J11" s="26">
        <v>420</v>
      </c>
    </row>
    <row r="12" spans="5:10" x14ac:dyDescent="0.35">
      <c r="E12" s="27" t="s">
        <v>32</v>
      </c>
      <c r="F12" s="28"/>
      <c r="G12" s="28"/>
      <c r="H12" s="28"/>
      <c r="I12" s="28"/>
      <c r="J12" s="28"/>
    </row>
  </sheetData>
  <mergeCells count="2">
    <mergeCell ref="E1:J3"/>
    <mergeCell ref="E12:J12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A5F80-0586-453F-A66F-68775B5485D9}">
  <dimension ref="C3:H15"/>
  <sheetViews>
    <sheetView zoomScale="88" workbookViewId="0">
      <selection activeCell="L7" sqref="L7"/>
    </sheetView>
  </sheetViews>
  <sheetFormatPr defaultRowHeight="14.5" x14ac:dyDescent="0.35"/>
  <cols>
    <col min="3" max="3" width="10.36328125" customWidth="1"/>
    <col min="4" max="4" width="14.7265625" customWidth="1"/>
    <col min="5" max="5" width="13.26953125" customWidth="1"/>
    <col min="6" max="6" width="12.1796875" customWidth="1"/>
    <col min="7" max="7" width="15.26953125" customWidth="1"/>
    <col min="8" max="8" width="11.54296875" customWidth="1"/>
  </cols>
  <sheetData>
    <row r="3" spans="3:8" x14ac:dyDescent="0.35">
      <c r="C3" s="21" t="s">
        <v>16</v>
      </c>
      <c r="D3" s="21"/>
      <c r="E3" s="21"/>
      <c r="F3" s="21"/>
      <c r="G3" s="21"/>
      <c r="H3" s="21"/>
    </row>
    <row r="4" spans="3:8" x14ac:dyDescent="0.35">
      <c r="C4" s="21"/>
      <c r="D4" s="21"/>
      <c r="E4" s="21"/>
      <c r="F4" s="21"/>
      <c r="G4" s="21"/>
      <c r="H4" s="21"/>
    </row>
    <row r="5" spans="3:8" x14ac:dyDescent="0.35">
      <c r="C5" s="21"/>
      <c r="D5" s="21"/>
      <c r="E5" s="21"/>
      <c r="F5" s="21"/>
      <c r="G5" s="21"/>
      <c r="H5" s="21"/>
    </row>
    <row r="6" spans="3:8" x14ac:dyDescent="0.35">
      <c r="C6" s="5" t="s">
        <v>0</v>
      </c>
      <c r="D6" s="5">
        <v>2021</v>
      </c>
      <c r="E6" s="5">
        <v>2022</v>
      </c>
      <c r="F6" s="5">
        <v>2023</v>
      </c>
      <c r="G6" s="5">
        <v>2024</v>
      </c>
      <c r="H6" s="5">
        <v>2025</v>
      </c>
    </row>
    <row r="7" spans="3:8" ht="43.5" x14ac:dyDescent="0.35">
      <c r="C7" s="4" t="s">
        <v>8</v>
      </c>
      <c r="D7" s="26">
        <v>20602</v>
      </c>
      <c r="E7" s="26">
        <v>27210</v>
      </c>
      <c r="F7" s="26">
        <v>38270</v>
      </c>
      <c r="G7" s="26">
        <v>47114</v>
      </c>
      <c r="H7" s="26">
        <v>54842</v>
      </c>
    </row>
    <row r="8" spans="3:8" ht="29" x14ac:dyDescent="0.35">
      <c r="C8" s="4" t="s">
        <v>9</v>
      </c>
      <c r="D8" s="26">
        <v>20783</v>
      </c>
      <c r="E8" s="26">
        <v>27456</v>
      </c>
      <c r="F8" s="26">
        <v>38569</v>
      </c>
      <c r="G8" s="26">
        <v>47624</v>
      </c>
      <c r="H8" s="26">
        <v>55335</v>
      </c>
    </row>
    <row r="9" spans="3:8" ht="43.5" x14ac:dyDescent="0.35">
      <c r="C9" s="4" t="s">
        <v>10</v>
      </c>
      <c r="D9" s="26">
        <v>911</v>
      </c>
      <c r="E9" s="26">
        <v>1143</v>
      </c>
      <c r="F9" s="26">
        <v>1362</v>
      </c>
      <c r="G9" s="26">
        <v>1503</v>
      </c>
      <c r="H9" s="26">
        <v>1717</v>
      </c>
    </row>
    <row r="10" spans="3:8" ht="29" x14ac:dyDescent="0.35">
      <c r="C10" s="4" t="s">
        <v>11</v>
      </c>
      <c r="D10" s="26">
        <v>181</v>
      </c>
      <c r="E10" s="26">
        <v>195</v>
      </c>
      <c r="F10" s="26">
        <v>240</v>
      </c>
      <c r="G10" s="26">
        <v>480</v>
      </c>
      <c r="H10" s="26">
        <v>767</v>
      </c>
    </row>
    <row r="11" spans="3:8" ht="29" x14ac:dyDescent="0.35">
      <c r="C11" s="4" t="s">
        <v>12</v>
      </c>
      <c r="D11" s="26">
        <v>331</v>
      </c>
      <c r="E11" s="26">
        <v>347</v>
      </c>
      <c r="F11" s="26">
        <v>364</v>
      </c>
      <c r="G11" s="26">
        <v>447</v>
      </c>
      <c r="H11" s="26">
        <v>537</v>
      </c>
    </row>
    <row r="12" spans="3:8" ht="29" x14ac:dyDescent="0.35">
      <c r="C12" s="4" t="s">
        <v>13</v>
      </c>
      <c r="D12" s="26">
        <v>1233</v>
      </c>
      <c r="E12" s="26">
        <v>2932</v>
      </c>
      <c r="F12" s="26">
        <v>4465</v>
      </c>
      <c r="G12" s="26">
        <v>4607</v>
      </c>
      <c r="H12" s="26">
        <v>4481</v>
      </c>
    </row>
    <row r="13" spans="3:8" x14ac:dyDescent="0.35">
      <c r="C13" s="4" t="s">
        <v>14</v>
      </c>
      <c r="D13" s="26">
        <v>877</v>
      </c>
      <c r="E13" s="26">
        <v>2180</v>
      </c>
      <c r="F13" s="26">
        <v>3333</v>
      </c>
      <c r="G13" s="26">
        <v>3544</v>
      </c>
      <c r="H13" s="26">
        <v>3335</v>
      </c>
    </row>
    <row r="14" spans="3:8" x14ac:dyDescent="0.35">
      <c r="C14" s="4" t="s">
        <v>15</v>
      </c>
      <c r="D14" s="1">
        <v>9.8800000000000008</v>
      </c>
      <c r="E14" s="1">
        <v>24.56</v>
      </c>
      <c r="F14" s="1">
        <v>37.54</v>
      </c>
      <c r="G14" s="1">
        <v>39.94</v>
      </c>
      <c r="H14" s="1">
        <v>37.6</v>
      </c>
    </row>
    <row r="15" spans="3:8" x14ac:dyDescent="0.35">
      <c r="C15" s="29" t="s">
        <v>33</v>
      </c>
      <c r="D15" s="29"/>
      <c r="E15" s="29"/>
      <c r="F15" s="29"/>
      <c r="G15" s="29"/>
      <c r="H15" s="29"/>
    </row>
  </sheetData>
  <mergeCells count="2">
    <mergeCell ref="C3:H5"/>
    <mergeCell ref="C15:H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846CC-84B9-45BC-8EC6-0C6537BDE03D}">
  <dimension ref="C3:H10"/>
  <sheetViews>
    <sheetView topLeftCell="A2" workbookViewId="0">
      <selection activeCell="B8" sqref="B8"/>
    </sheetView>
  </sheetViews>
  <sheetFormatPr defaultRowHeight="14.5" x14ac:dyDescent="0.35"/>
  <cols>
    <col min="4" max="4" width="10.36328125" bestFit="1" customWidth="1"/>
    <col min="5" max="5" width="12.08984375" customWidth="1"/>
    <col min="6" max="6" width="10.26953125" customWidth="1"/>
    <col min="7" max="7" width="10.6328125" customWidth="1"/>
    <col min="8" max="8" width="8.7265625" customWidth="1"/>
  </cols>
  <sheetData>
    <row r="3" spans="3:8" x14ac:dyDescent="0.35">
      <c r="C3" s="22" t="s">
        <v>22</v>
      </c>
      <c r="D3" s="22"/>
      <c r="E3" s="22"/>
      <c r="F3" s="22"/>
      <c r="G3" s="22"/>
      <c r="H3" s="22"/>
    </row>
    <row r="4" spans="3:8" x14ac:dyDescent="0.35">
      <c r="C4" s="22"/>
      <c r="D4" s="22"/>
      <c r="E4" s="22"/>
      <c r="F4" s="22"/>
      <c r="G4" s="22"/>
      <c r="H4" s="22"/>
    </row>
    <row r="5" spans="3:8" ht="29" x14ac:dyDescent="0.35">
      <c r="C5" s="2" t="s">
        <v>0</v>
      </c>
      <c r="D5" s="2">
        <v>2021</v>
      </c>
      <c r="E5" s="2">
        <v>2022</v>
      </c>
      <c r="F5" s="2">
        <v>2023</v>
      </c>
      <c r="G5" s="2">
        <v>2024</v>
      </c>
      <c r="H5" s="2">
        <v>2025</v>
      </c>
    </row>
    <row r="6" spans="3:8" ht="43.5" x14ac:dyDescent="0.35">
      <c r="C6" s="3" t="s">
        <v>18</v>
      </c>
      <c r="D6" s="26">
        <v>4101</v>
      </c>
      <c r="E6" s="26">
        <v>-1126</v>
      </c>
      <c r="F6" s="26">
        <v>1810</v>
      </c>
      <c r="G6" s="26">
        <v>2030</v>
      </c>
      <c r="H6" s="26">
        <v>-170</v>
      </c>
    </row>
    <row r="7" spans="3:8" ht="43.5" x14ac:dyDescent="0.35">
      <c r="C7" s="3" t="s">
        <v>19</v>
      </c>
      <c r="D7" s="26">
        <v>-2744</v>
      </c>
      <c r="E7" s="26">
        <v>1564</v>
      </c>
      <c r="F7" s="26">
        <v>-1653</v>
      </c>
      <c r="G7" s="26">
        <v>-4634</v>
      </c>
      <c r="H7" s="26">
        <v>140</v>
      </c>
    </row>
    <row r="8" spans="3:8" ht="43.5" x14ac:dyDescent="0.35">
      <c r="C8" s="3" t="s">
        <v>20</v>
      </c>
      <c r="D8" s="26">
        <v>-1260</v>
      </c>
      <c r="E8" s="26">
        <v>-468</v>
      </c>
      <c r="F8" s="26">
        <v>-155</v>
      </c>
      <c r="G8" s="26">
        <v>2757</v>
      </c>
      <c r="H8" s="26">
        <v>1</v>
      </c>
    </row>
    <row r="9" spans="3:8" ht="43.5" x14ac:dyDescent="0.35">
      <c r="C9" s="3" t="s">
        <v>21</v>
      </c>
      <c r="D9" s="26">
        <v>97</v>
      </c>
      <c r="E9" s="26">
        <v>-30</v>
      </c>
      <c r="F9" s="26">
        <v>2</v>
      </c>
      <c r="G9" s="26">
        <v>153</v>
      </c>
      <c r="H9" s="26">
        <v>-29</v>
      </c>
    </row>
    <row r="10" spans="3:8" x14ac:dyDescent="0.35">
      <c r="C10" s="29" t="s">
        <v>33</v>
      </c>
      <c r="D10" s="29"/>
      <c r="E10" s="29"/>
      <c r="F10" s="29"/>
      <c r="G10" s="29"/>
      <c r="H10" s="29"/>
    </row>
  </sheetData>
  <mergeCells count="2">
    <mergeCell ref="C3:H4"/>
    <mergeCell ref="C10:H1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A25C0-158F-4931-9030-2D9877EE25E7}">
  <dimension ref="B3:H13"/>
  <sheetViews>
    <sheetView workbookViewId="0">
      <selection activeCell="A9" sqref="A9"/>
    </sheetView>
  </sheetViews>
  <sheetFormatPr defaultRowHeight="14.5" x14ac:dyDescent="0.35"/>
  <cols>
    <col min="4" max="8" width="9.36328125" bestFit="1" customWidth="1"/>
  </cols>
  <sheetData>
    <row r="3" spans="2:8" x14ac:dyDescent="0.35">
      <c r="C3" s="23" t="s">
        <v>24</v>
      </c>
      <c r="D3" s="23"/>
      <c r="E3" s="23"/>
      <c r="F3" s="23"/>
      <c r="G3" s="23"/>
      <c r="H3" s="23"/>
    </row>
    <row r="4" spans="2:8" ht="14.5" customHeight="1" x14ac:dyDescent="0.35">
      <c r="C4" s="23"/>
      <c r="D4" s="23"/>
      <c r="E4" s="23"/>
      <c r="F4" s="23"/>
      <c r="G4" s="23"/>
      <c r="H4" s="23"/>
    </row>
    <row r="5" spans="2:8" ht="14.5" customHeight="1" x14ac:dyDescent="0.35">
      <c r="C5" s="23"/>
      <c r="D5" s="23"/>
      <c r="E5" s="23"/>
      <c r="F5" s="23"/>
      <c r="G5" s="23"/>
      <c r="H5" s="23"/>
    </row>
    <row r="6" spans="2:8" ht="14.5" customHeight="1" x14ac:dyDescent="0.35">
      <c r="C6" s="2" t="s">
        <v>23</v>
      </c>
      <c r="D6" s="2">
        <v>2021</v>
      </c>
      <c r="E6" s="2">
        <v>2022</v>
      </c>
      <c r="F6" s="2">
        <v>2023</v>
      </c>
      <c r="G6" s="2">
        <v>2024</v>
      </c>
      <c r="H6" s="2">
        <v>2025</v>
      </c>
    </row>
    <row r="7" spans="2:8" ht="29" x14ac:dyDescent="0.35">
      <c r="B7" s="7"/>
      <c r="C7" s="4" t="s">
        <v>25</v>
      </c>
      <c r="D7" s="9">
        <f>Sheet1!F5/Sheet1!F8</f>
        <v>2.204921451411094</v>
      </c>
      <c r="E7" s="9">
        <f>Sheet1!G5/Sheet1!G8</f>
        <v>2.1066011089026047</v>
      </c>
      <c r="F7" s="9">
        <f>Sheet1!H5/Sheet1!H8</f>
        <v>2.1775887509764775</v>
      </c>
      <c r="G7" s="9">
        <f>Sheet1!I5/Sheet1!I8</f>
        <v>2.4593623709025594</v>
      </c>
      <c r="H7" s="9">
        <f>Sheet1!J5/Sheet1!J8</f>
        <v>1.8976668976668976</v>
      </c>
    </row>
    <row r="8" spans="2:8" ht="29" x14ac:dyDescent="0.35">
      <c r="B8" s="7"/>
      <c r="C8" s="4" t="s">
        <v>26</v>
      </c>
      <c r="D8" s="9">
        <f>Sheet1!F11/Sheet1!F6</f>
        <v>0</v>
      </c>
      <c r="E8" s="9">
        <f>Sheet1!G11/Sheet1!G6</f>
        <v>2.4005121092499734E-2</v>
      </c>
      <c r="F8" s="9">
        <f>Sheet1!H11/Sheet1!H6</f>
        <v>9.9216274804068708E-2</v>
      </c>
      <c r="G8" s="9">
        <f>Sheet1!I11/Sheet1!I6</f>
        <v>0.21712665144912499</v>
      </c>
      <c r="H8" s="9">
        <f>Sheet1!J11/Sheet1!J6</f>
        <v>2.4983641663196717E-2</v>
      </c>
    </row>
    <row r="9" spans="2:8" ht="43.5" x14ac:dyDescent="0.35">
      <c r="B9" s="7"/>
      <c r="C9" s="4" t="s">
        <v>27</v>
      </c>
      <c r="D9" s="10">
        <f>(Sheet2!D13/Sheet2!D7)</f>
        <v>4.256868265216969E-2</v>
      </c>
      <c r="E9" s="10">
        <f>(Sheet2!E13/Sheet2!E7)</f>
        <v>8.0117603822124225E-2</v>
      </c>
      <c r="F9" s="10">
        <f>(Sheet2!F13/Sheet2!F7)</f>
        <v>8.7091716749412074E-2</v>
      </c>
      <c r="G9" s="10">
        <f>(Sheet2!G13/Sheet2!G7)</f>
        <v>7.5221802436643032E-2</v>
      </c>
      <c r="H9" s="10">
        <f>(Sheet2!H13/Sheet2!H7)</f>
        <v>6.0811057218919808E-2</v>
      </c>
    </row>
    <row r="10" spans="2:8" x14ac:dyDescent="0.35">
      <c r="B10" s="7"/>
      <c r="C10" s="4" t="s">
        <v>28</v>
      </c>
      <c r="D10" s="10">
        <f>(Sheet2!D13/Sheet1!F6)</f>
        <v>0.11611280285979081</v>
      </c>
      <c r="E10" s="10">
        <f>(Sheet2!E13/Sheet1!G6)</f>
        <v>0.23258295102955298</v>
      </c>
      <c r="F10" s="10">
        <f>(Sheet2!F13/Sheet1!H6)</f>
        <v>0.27788894447223611</v>
      </c>
      <c r="G10" s="10">
        <f>(Sheet2!G13/Sheet1!I6)</f>
        <v>0.24514076226049664</v>
      </c>
      <c r="H10" s="10">
        <f>(Sheet2!H13/Sheet1!J6)</f>
        <v>0.19838201177800249</v>
      </c>
    </row>
    <row r="11" spans="2:8" ht="43.5" x14ac:dyDescent="0.35">
      <c r="B11" s="7"/>
      <c r="C11" s="4" t="s">
        <v>29</v>
      </c>
      <c r="D11" s="9">
        <f>Sheet2!D7/Sheet1!F5</f>
        <v>1.2989911727616645</v>
      </c>
      <c r="E11" s="9">
        <f>Sheet2!E7/Sheet1!G5</f>
        <v>1.3512439787455928</v>
      </c>
      <c r="F11" s="9">
        <f>Sheet2!F7/Sheet1!H5</f>
        <v>1.5254304846938775</v>
      </c>
      <c r="G11" s="9">
        <f>Sheet2!G7/Sheet1!I5</f>
        <v>1.4336924106871158</v>
      </c>
      <c r="H11" s="9">
        <f>Sheet2!H7/Sheet1!J5</f>
        <v>1.3351673767498478</v>
      </c>
    </row>
    <row r="13" spans="2:8" x14ac:dyDescent="0.35">
      <c r="F13" s="8"/>
    </row>
  </sheetData>
  <mergeCells count="1">
    <mergeCell ref="C3:H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C56A1-77AF-4FBC-88D9-8657D3891D1E}">
  <dimension ref="D7:AD40"/>
  <sheetViews>
    <sheetView tabSelected="1" topLeftCell="A23" zoomScale="62" zoomScaleNormal="80" workbookViewId="0">
      <selection activeCell="X39" sqref="X39"/>
    </sheetView>
  </sheetViews>
  <sheetFormatPr defaultRowHeight="14.5" x14ac:dyDescent="0.35"/>
  <cols>
    <col min="5" max="5" width="14.36328125" customWidth="1"/>
  </cols>
  <sheetData>
    <row r="7" spans="4:30" ht="58" x14ac:dyDescent="0.35">
      <c r="D7" s="12" t="s">
        <v>30</v>
      </c>
      <c r="E7" s="11" t="s">
        <v>8</v>
      </c>
      <c r="P7" s="16" t="s">
        <v>30</v>
      </c>
      <c r="Q7" s="15" t="s">
        <v>28</v>
      </c>
      <c r="AC7" s="16" t="s">
        <v>30</v>
      </c>
      <c r="AD7" s="4" t="s">
        <v>27</v>
      </c>
    </row>
    <row r="8" spans="4:30" x14ac:dyDescent="0.35">
      <c r="D8" s="5">
        <v>2021</v>
      </c>
      <c r="E8" s="26">
        <v>20602</v>
      </c>
      <c r="P8" s="13">
        <v>2021</v>
      </c>
      <c r="Q8" s="14">
        <v>0.11609999999999999</v>
      </c>
      <c r="AC8" s="13">
        <v>2021</v>
      </c>
      <c r="AD8" s="10">
        <f>(Sheet4!D9)</f>
        <v>4.256868265216969E-2</v>
      </c>
    </row>
    <row r="9" spans="4:30" x14ac:dyDescent="0.35">
      <c r="D9" s="5">
        <v>2022</v>
      </c>
      <c r="E9" s="26">
        <v>27210</v>
      </c>
      <c r="P9" s="13">
        <v>2022</v>
      </c>
      <c r="Q9" s="14">
        <v>0.2326</v>
      </c>
      <c r="AC9" s="13">
        <v>2022</v>
      </c>
      <c r="AD9" s="10">
        <f>(Sheet4!E9)</f>
        <v>8.0117603822124225E-2</v>
      </c>
    </row>
    <row r="10" spans="4:30" x14ac:dyDescent="0.35">
      <c r="D10" s="5">
        <v>2023</v>
      </c>
      <c r="E10" s="26">
        <v>38270</v>
      </c>
      <c r="P10" s="13">
        <v>2023</v>
      </c>
      <c r="Q10" s="14">
        <v>0.27789999999999998</v>
      </c>
      <c r="AC10" s="13">
        <v>2023</v>
      </c>
      <c r="AD10" s="10">
        <f>(Sheet4!F9)</f>
        <v>8.7091716749412074E-2</v>
      </c>
    </row>
    <row r="11" spans="4:30" x14ac:dyDescent="0.35">
      <c r="D11" s="5">
        <v>2024</v>
      </c>
      <c r="E11" s="26">
        <v>47114</v>
      </c>
      <c r="P11" s="13">
        <v>2024</v>
      </c>
      <c r="Q11" s="14">
        <v>0.24510000000000001</v>
      </c>
      <c r="AC11" s="13">
        <v>2024</v>
      </c>
      <c r="AD11" s="10">
        <f>(Sheet4!G9)</f>
        <v>7.5221802436643032E-2</v>
      </c>
    </row>
    <row r="12" spans="4:30" x14ac:dyDescent="0.35">
      <c r="D12" s="5">
        <v>2025</v>
      </c>
      <c r="E12" s="26">
        <v>54842</v>
      </c>
      <c r="P12" s="13">
        <v>2025</v>
      </c>
      <c r="Q12" s="14">
        <v>0.19839999999999999</v>
      </c>
      <c r="AC12" s="13">
        <v>2025</v>
      </c>
      <c r="AD12" s="10">
        <f>(Sheet4!H9)</f>
        <v>6.0811057218919808E-2</v>
      </c>
    </row>
    <row r="20" spans="4:18" ht="29" x14ac:dyDescent="0.35">
      <c r="D20" s="12" t="s">
        <v>30</v>
      </c>
      <c r="E20" s="11" t="s">
        <v>14</v>
      </c>
    </row>
    <row r="21" spans="4:18" ht="43.5" x14ac:dyDescent="0.35">
      <c r="D21" s="5">
        <v>2021</v>
      </c>
      <c r="E21" s="26">
        <v>877</v>
      </c>
      <c r="Q21" s="17" t="s">
        <v>30</v>
      </c>
      <c r="R21" s="11" t="s">
        <v>29</v>
      </c>
    </row>
    <row r="22" spans="4:18" x14ac:dyDescent="0.35">
      <c r="D22" s="5">
        <v>2022</v>
      </c>
      <c r="E22" s="26">
        <v>2180</v>
      </c>
      <c r="Q22" s="13">
        <v>2021</v>
      </c>
      <c r="R22" s="18">
        <v>1.3</v>
      </c>
    </row>
    <row r="23" spans="4:18" x14ac:dyDescent="0.35">
      <c r="D23" s="5">
        <v>2023</v>
      </c>
      <c r="E23" s="26">
        <v>3333</v>
      </c>
      <c r="Q23" s="13">
        <v>2022</v>
      </c>
      <c r="R23" s="18">
        <v>1.35</v>
      </c>
    </row>
    <row r="24" spans="4:18" x14ac:dyDescent="0.35">
      <c r="D24" s="5">
        <v>2024</v>
      </c>
      <c r="E24" s="26">
        <v>3544</v>
      </c>
      <c r="Q24" s="13">
        <v>2023</v>
      </c>
      <c r="R24" s="18">
        <v>1.53</v>
      </c>
    </row>
    <row r="25" spans="4:18" x14ac:dyDescent="0.35">
      <c r="D25" s="5">
        <v>2025</v>
      </c>
      <c r="E25" s="26">
        <v>3335</v>
      </c>
      <c r="Q25" s="13">
        <v>2024</v>
      </c>
      <c r="R25" s="18">
        <v>1.43</v>
      </c>
    </row>
    <row r="26" spans="4:18" x14ac:dyDescent="0.35">
      <c r="Q26" s="13">
        <v>2025</v>
      </c>
      <c r="R26" s="18">
        <v>1.34</v>
      </c>
    </row>
    <row r="35" spans="4:5" ht="29" x14ac:dyDescent="0.35">
      <c r="D35" s="12" t="s">
        <v>30</v>
      </c>
      <c r="E35" s="4" t="s">
        <v>25</v>
      </c>
    </row>
    <row r="36" spans="4:5" x14ac:dyDescent="0.35">
      <c r="D36" s="5">
        <v>2021</v>
      </c>
      <c r="E36" s="9">
        <v>2.2000000000000002</v>
      </c>
    </row>
    <row r="37" spans="4:5" x14ac:dyDescent="0.35">
      <c r="D37" s="5">
        <v>2022</v>
      </c>
      <c r="E37" s="9">
        <v>2.11</v>
      </c>
    </row>
    <row r="38" spans="4:5" x14ac:dyDescent="0.35">
      <c r="D38" s="5">
        <v>2023</v>
      </c>
      <c r="E38" s="9">
        <v>2.1800000000000002</v>
      </c>
    </row>
    <row r="39" spans="4:5" x14ac:dyDescent="0.35">
      <c r="D39" s="5">
        <v>2024</v>
      </c>
      <c r="E39" s="9">
        <v>2.46</v>
      </c>
    </row>
    <row r="40" spans="4:5" x14ac:dyDescent="0.35">
      <c r="D40" s="5">
        <v>2025</v>
      </c>
      <c r="E40" s="9">
        <v>1.9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94275-4122-4E73-BEC8-306E97BC5665}">
  <sheetPr>
    <pageSetUpPr autoPageBreaks="0"/>
  </sheetPr>
  <dimension ref="A1:AH74"/>
  <sheetViews>
    <sheetView zoomScale="45" zoomScaleNormal="50" workbookViewId="0">
      <selection activeCell="AF19" sqref="AF19"/>
    </sheetView>
  </sheetViews>
  <sheetFormatPr defaultRowHeight="14.5" x14ac:dyDescent="0.35"/>
  <cols>
    <col min="10" max="10" width="8.7265625" customWidth="1"/>
  </cols>
  <sheetData>
    <row r="1" spans="1:34" x14ac:dyDescent="0.35">
      <c r="A1" s="24" t="s">
        <v>31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</row>
    <row r="2" spans="1:34" x14ac:dyDescent="0.3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</row>
    <row r="3" spans="1:34" x14ac:dyDescent="0.3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</row>
    <row r="4" spans="1:34" x14ac:dyDescent="0.3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spans="1:34" x14ac:dyDescent="0.3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spans="1:34" x14ac:dyDescent="0.3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 spans="1:34" x14ac:dyDescent="0.3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x14ac:dyDescent="0.3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</row>
    <row r="9" spans="1:34" x14ac:dyDescent="0.3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</row>
    <row r="10" spans="1:34" x14ac:dyDescent="0.3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</row>
    <row r="11" spans="1:34" x14ac:dyDescent="0.3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</row>
    <row r="12" spans="1:34" x14ac:dyDescent="0.3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</row>
    <row r="13" spans="1:34" x14ac:dyDescent="0.3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</row>
    <row r="14" spans="1:34" x14ac:dyDescent="0.3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</row>
    <row r="15" spans="1:34" x14ac:dyDescent="0.3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</row>
    <row r="16" spans="1:34" x14ac:dyDescent="0.3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</row>
    <row r="17" spans="1:34" x14ac:dyDescent="0.3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</row>
    <row r="18" spans="1:34" x14ac:dyDescent="0.3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</row>
    <row r="19" spans="1:34" x14ac:dyDescent="0.3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</row>
    <row r="20" spans="1:34" x14ac:dyDescent="0.3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</row>
    <row r="21" spans="1:34" x14ac:dyDescent="0.3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</row>
    <row r="22" spans="1:34" x14ac:dyDescent="0.3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</row>
    <row r="23" spans="1:34" x14ac:dyDescent="0.3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</row>
    <row r="24" spans="1:34" x14ac:dyDescent="0.3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</row>
    <row r="25" spans="1:34" x14ac:dyDescent="0.3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</row>
    <row r="26" spans="1:34" x14ac:dyDescent="0.3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</row>
    <row r="27" spans="1:34" x14ac:dyDescent="0.3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</row>
    <row r="28" spans="1:34" x14ac:dyDescent="0.3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</row>
    <row r="29" spans="1:34" x14ac:dyDescent="0.3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</row>
    <row r="30" spans="1:34" x14ac:dyDescent="0.3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</row>
    <row r="31" spans="1:34" x14ac:dyDescent="0.3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</row>
    <row r="32" spans="1:34" x14ac:dyDescent="0.3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</row>
    <row r="33" spans="1:34" x14ac:dyDescent="0.3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</row>
    <row r="34" spans="1:34" x14ac:dyDescent="0.3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</row>
    <row r="35" spans="1:34" x14ac:dyDescent="0.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</row>
    <row r="36" spans="1:34" x14ac:dyDescent="0.3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</row>
    <row r="37" spans="1:34" x14ac:dyDescent="0.3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</row>
    <row r="38" spans="1:34" x14ac:dyDescent="0.3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</row>
    <row r="39" spans="1:34" x14ac:dyDescent="0.3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</row>
    <row r="40" spans="1:34" x14ac:dyDescent="0.3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</row>
    <row r="41" spans="1:34" x14ac:dyDescent="0.3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</row>
    <row r="42" spans="1:34" x14ac:dyDescent="0.3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</row>
    <row r="43" spans="1:34" x14ac:dyDescent="0.3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</row>
    <row r="44" spans="1:34" x14ac:dyDescent="0.3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</row>
    <row r="45" spans="1:34" x14ac:dyDescent="0.3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</row>
    <row r="46" spans="1:34" x14ac:dyDescent="0.3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</row>
    <row r="47" spans="1:34" x14ac:dyDescent="0.3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</row>
    <row r="48" spans="1:34" x14ac:dyDescent="0.3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</row>
    <row r="49" spans="1:34" x14ac:dyDescent="0.3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</row>
    <row r="50" spans="1:34" x14ac:dyDescent="0.3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</row>
    <row r="51" spans="1:34" x14ac:dyDescent="0.3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</row>
    <row r="52" spans="1:34" x14ac:dyDescent="0.3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</row>
    <row r="53" spans="1:34" x14ac:dyDescent="0.3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</row>
    <row r="54" spans="1:34" x14ac:dyDescent="0.3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</row>
    <row r="55" spans="1:34" x14ac:dyDescent="0.3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</row>
    <row r="56" spans="1:34" x14ac:dyDescent="0.3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</row>
    <row r="57" spans="1:34" x14ac:dyDescent="0.3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</row>
    <row r="58" spans="1:34" x14ac:dyDescent="0.3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</row>
    <row r="59" spans="1:34" x14ac:dyDescent="0.3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</row>
    <row r="60" spans="1:34" x14ac:dyDescent="0.3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</row>
    <row r="61" spans="1:34" x14ac:dyDescent="0.3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</row>
    <row r="62" spans="1:34" x14ac:dyDescent="0.3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</row>
    <row r="63" spans="1:34" x14ac:dyDescent="0.3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</row>
    <row r="64" spans="1:34" x14ac:dyDescent="0.3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</row>
    <row r="65" spans="1:34" x14ac:dyDescent="0.3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</row>
    <row r="66" spans="1:34" x14ac:dyDescent="0.3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</row>
    <row r="67" spans="1:34" x14ac:dyDescent="0.3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</row>
    <row r="68" spans="1:34" x14ac:dyDescent="0.3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</row>
    <row r="69" spans="1:34" x14ac:dyDescent="0.3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</row>
    <row r="70" spans="1:34" x14ac:dyDescent="0.3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</row>
    <row r="71" spans="1:34" x14ac:dyDescent="0.3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</row>
    <row r="72" spans="1:34" x14ac:dyDescent="0.3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</row>
    <row r="73" spans="1:34" x14ac:dyDescent="0.3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</row>
    <row r="74" spans="1:34" x14ac:dyDescent="0.3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</row>
  </sheetData>
  <mergeCells count="1">
    <mergeCell ref="A1:T4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Sheet1</vt:lpstr>
      <vt:lpstr>Sheet2</vt:lpstr>
      <vt:lpstr>Sheet3</vt:lpstr>
      <vt:lpstr>Sheet4</vt:lpstr>
      <vt:lpstr>Charts</vt:lpstr>
      <vt:lpstr>Dashboard</vt:lpstr>
      <vt:lpstr>Sheet1!Print_Area</vt:lpstr>
      <vt:lpstr>Sheet2!Print_Area</vt:lpstr>
      <vt:lpstr>Sheet3!Print_Area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2026-05-29T14:56:33Z</cp:lastPrinted>
  <dcterms:created xsi:type="dcterms:W3CDTF">2026-05-26T13:05:17Z</dcterms:created>
  <dcterms:modified xsi:type="dcterms:W3CDTF">2026-06-06T11:41:57Z</dcterms:modified>
</cp:coreProperties>
</file>